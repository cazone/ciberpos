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Z\Desktop\"/>
    </mc:Choice>
  </mc:AlternateContent>
  <xr:revisionPtr revIDLastSave="0" documentId="8_{7205D3C2-AFD5-4DB1-9185-51239734AF6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EBRERO" sheetId="9" r:id="rId1"/>
  </sheets>
  <functionGroups builtInGroupCount="19"/>
  <definedNames>
    <definedName name="_xlnm._FilterDatabase" localSheetId="0" hidden="1">FEBRERO!$B$4:$Z$104</definedName>
    <definedName name="_xlnm.Print_Titles" localSheetId="0">FEBRERO!$4:$4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6" i="9" l="1"/>
  <c r="N6" i="9" a="1"/>
  <c r="N10" i="9" a="1"/>
  <c r="N14" i="9" a="1"/>
  <c r="N18" i="9" a="1"/>
  <c r="N22" i="9" a="1"/>
  <c r="N26" i="9" a="1"/>
  <c r="N30" i="9" a="1"/>
  <c r="N34" i="9" a="1"/>
  <c r="N38" i="9" a="1"/>
  <c r="N42" i="9" a="1"/>
  <c r="N46" i="9" a="1"/>
  <c r="N50" i="9" a="1"/>
  <c r="N54" i="9" a="1"/>
  <c r="N58" i="9" a="1"/>
  <c r="N62" i="9" a="1"/>
  <c r="N66" i="9" a="1"/>
  <c r="N70" i="9" a="1"/>
  <c r="N74" i="9" a="1"/>
  <c r="N78" i="9" a="1"/>
  <c r="N82" i="9" a="1"/>
  <c r="N86" i="9" a="1"/>
  <c r="N90" i="9" a="1"/>
  <c r="N94" i="9" a="1"/>
  <c r="N98" i="9" a="1"/>
  <c r="N102" i="9" a="1"/>
  <c r="N11" i="9" a="1"/>
  <c r="N35" i="9" a="1"/>
  <c r="N39" i="9" a="1"/>
  <c r="N43" i="9" a="1"/>
  <c r="N47" i="9" a="1"/>
  <c r="N51" i="9" a="1"/>
  <c r="N55" i="9" a="1"/>
  <c r="N59" i="9" a="1"/>
  <c r="N63" i="9" a="1"/>
  <c r="N67" i="9" a="1"/>
  <c r="N71" i="9" a="1"/>
  <c r="N75" i="9" a="1"/>
  <c r="N79" i="9" a="1"/>
  <c r="N83" i="9" a="1"/>
  <c r="N87" i="9" a="1"/>
  <c r="N91" i="9" a="1"/>
  <c r="N95" i="9" a="1"/>
  <c r="N99" i="9" a="1"/>
  <c r="N7" i="9" a="1"/>
  <c r="N15" i="9" a="1"/>
  <c r="N19" i="9" a="1"/>
  <c r="N23" i="9" a="1"/>
  <c r="N27" i="9" a="1"/>
  <c r="N31" i="9" a="1"/>
  <c r="N103" i="9" a="1"/>
  <c r="N69" i="9" a="1"/>
  <c r="N81" i="9" a="1"/>
  <c r="N93" i="9" a="1"/>
  <c r="N12" i="9" a="1"/>
  <c r="N28" i="9" a="1"/>
  <c r="N40" i="9" a="1"/>
  <c r="N48" i="9" a="1"/>
  <c r="N56" i="9" a="1"/>
  <c r="N64" i="9" a="1"/>
  <c r="N72" i="9" a="1"/>
  <c r="N80" i="9" a="1"/>
  <c r="N88" i="9" a="1"/>
  <c r="N96" i="9" a="1"/>
  <c r="N104" i="9" a="1"/>
  <c r="N73" i="9" a="1"/>
  <c r="N85" i="9" a="1"/>
  <c r="N101" i="9" a="1"/>
  <c r="N8" i="9" a="1"/>
  <c r="N16" i="9" a="1"/>
  <c r="N20" i="9" a="1"/>
  <c r="N24" i="9" a="1"/>
  <c r="N32" i="9" a="1"/>
  <c r="N36" i="9" a="1"/>
  <c r="N44" i="9" a="1"/>
  <c r="N52" i="9" a="1"/>
  <c r="N60" i="9" a="1"/>
  <c r="N68" i="9" a="1"/>
  <c r="N76" i="9" a="1"/>
  <c r="N84" i="9" a="1"/>
  <c r="N92" i="9" a="1"/>
  <c r="N100" i="9" a="1"/>
  <c r="N65" i="9" a="1"/>
  <c r="N77" i="9" a="1"/>
  <c r="N97" i="9" a="1"/>
  <c r="N9" i="9" a="1"/>
  <c r="N13" i="9" a="1"/>
  <c r="N17" i="9" a="1"/>
  <c r="N21" i="9" a="1"/>
  <c r="N25" i="9" a="1"/>
  <c r="N29" i="9" a="1"/>
  <c r="N33" i="9" a="1"/>
  <c r="N37" i="9" a="1"/>
  <c r="N41" i="9" a="1"/>
  <c r="N45" i="9" a="1"/>
  <c r="N49" i="9" a="1"/>
  <c r="N53" i="9" a="1"/>
  <c r="N57" i="9" a="1"/>
  <c r="N61" i="9" a="1"/>
  <c r="N89" i="9" a="1"/>
  <c r="N5" i="9" a="1"/>
  <c r="N89" i="9" l="1"/>
  <c r="N61" i="9"/>
  <c r="N57" i="9"/>
  <c r="N53" i="9"/>
  <c r="N49" i="9"/>
  <c r="N45" i="9"/>
  <c r="N41" i="9"/>
  <c r="N37" i="9"/>
  <c r="N33" i="9"/>
  <c r="N29" i="9"/>
  <c r="N25" i="9"/>
  <c r="N21" i="9"/>
  <c r="N17" i="9"/>
  <c r="N13" i="9"/>
  <c r="N9" i="9"/>
  <c r="N97" i="9"/>
  <c r="N77" i="9"/>
  <c r="N65" i="9"/>
  <c r="N100" i="9"/>
  <c r="N92" i="9"/>
  <c r="N84" i="9"/>
  <c r="N76" i="9"/>
  <c r="N68" i="9"/>
  <c r="N60" i="9"/>
  <c r="N52" i="9"/>
  <c r="N44" i="9"/>
  <c r="N36" i="9"/>
  <c r="N32" i="9"/>
  <c r="N24" i="9"/>
  <c r="N20" i="9"/>
  <c r="N16" i="9"/>
  <c r="N8" i="9"/>
  <c r="N101" i="9"/>
  <c r="N85" i="9"/>
  <c r="N73" i="9"/>
  <c r="N104" i="9"/>
  <c r="N96" i="9"/>
  <c r="N88" i="9"/>
  <c r="N80" i="9"/>
  <c r="N72" i="9"/>
  <c r="N64" i="9"/>
  <c r="N56" i="9"/>
  <c r="N48" i="9"/>
  <c r="N40" i="9"/>
  <c r="N28" i="9"/>
  <c r="N12" i="9"/>
  <c r="N93" i="9"/>
  <c r="N81" i="9"/>
  <c r="N69" i="9"/>
  <c r="N103" i="9"/>
  <c r="N31" i="9"/>
  <c r="N27" i="9"/>
  <c r="N23" i="9"/>
  <c r="N19" i="9"/>
  <c r="N15" i="9"/>
  <c r="N7" i="9"/>
  <c r="N99" i="9"/>
  <c r="N95" i="9"/>
  <c r="N91" i="9"/>
  <c r="N87" i="9"/>
  <c r="N83" i="9"/>
  <c r="N79" i="9"/>
  <c r="N75" i="9"/>
  <c r="N71" i="9"/>
  <c r="N67" i="9"/>
  <c r="N63" i="9"/>
  <c r="N59" i="9"/>
  <c r="N55" i="9"/>
  <c r="N51" i="9"/>
  <c r="N47" i="9"/>
  <c r="N43" i="9"/>
  <c r="N39" i="9"/>
  <c r="N35" i="9"/>
  <c r="N11" i="9"/>
  <c r="N102" i="9"/>
  <c r="N98" i="9"/>
  <c r="N94" i="9"/>
  <c r="N90" i="9"/>
  <c r="N86" i="9"/>
  <c r="N82" i="9"/>
  <c r="N78" i="9"/>
  <c r="N74" i="9"/>
  <c r="N70" i="9"/>
  <c r="N66" i="9"/>
  <c r="N62" i="9"/>
  <c r="N58" i="9"/>
  <c r="N54" i="9"/>
  <c r="N50" i="9"/>
  <c r="N46" i="9"/>
  <c r="N42" i="9"/>
  <c r="N38" i="9"/>
  <c r="N34" i="9"/>
  <c r="N30" i="9"/>
  <c r="N26" i="9"/>
  <c r="N22" i="9"/>
  <c r="N18" i="9"/>
  <c r="N14" i="9"/>
  <c r="N10" i="9"/>
  <c r="N6" i="9"/>
  <c r="N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O23" authorId="0" shapeId="0" xr:uid="{2A514187-2308-4C9A-8069-5D38340D520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O24" authorId="0" shapeId="0" xr:uid="{945794F7-3E9B-4185-A611-7C86C3413BD0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O25" authorId="0" shapeId="0" xr:uid="{0C807C9D-F992-4B19-8940-C76995DD9634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<sst xmlns="http://schemas.openxmlformats.org/spreadsheetml/2006/main" count="869" uniqueCount="406">
  <si>
    <t>X</t>
  </si>
  <si>
    <t>No.</t>
  </si>
  <si>
    <t>Centro de Trabajo / Unidad Administrativa</t>
  </si>
  <si>
    <r>
      <rPr>
        <u/>
        <sz val="11"/>
        <color rgb="FFFFFFFF"/>
        <rFont val="Arial"/>
        <family val="2"/>
      </rPr>
      <t>Categoría:</t>
    </r>
    <r>
      <rPr>
        <sz val="11"/>
        <color rgb="FFFFFFFF"/>
        <rFont val="Arial"/>
        <family val="2"/>
      </rPr>
      <t xml:space="preserve">
</t>
    </r>
    <r>
      <rPr>
        <sz val="9"/>
        <color rgb="FFFFFFFF"/>
        <rFont val="Arial"/>
        <family val="2"/>
      </rPr>
      <t xml:space="preserve">CiaNT: Actores de Número
Elenco Estable
Músicos residentes
</t>
    </r>
    <r>
      <rPr>
        <u/>
        <sz val="9"/>
        <color rgb="FFFFFFFF"/>
        <rFont val="Arial"/>
        <family val="2"/>
      </rPr>
      <t>Coordinador de Talleres</t>
    </r>
  </si>
  <si>
    <t>Nombre del Beneficiario</t>
  </si>
  <si>
    <t>RFC con homoclave</t>
  </si>
  <si>
    <t>CURP</t>
  </si>
  <si>
    <t>Periodicidad en la entrega de informes</t>
  </si>
  <si>
    <t>Vigencia Contrato
Fecha inicio         Fecha Término</t>
  </si>
  <si>
    <t>Monto Mensual del Estímulo
ENE</t>
  </si>
  <si>
    <t>Marca</t>
  </si>
  <si>
    <t>Clabe Interbancaria</t>
  </si>
  <si>
    <t>Banco</t>
  </si>
  <si>
    <t>CUENTA INBAL</t>
  </si>
  <si>
    <t>225 
Compañía Nacional de Teatro</t>
  </si>
  <si>
    <t>Actor de número</t>
  </si>
  <si>
    <t>MARTHA ROSA AURA PALACIOS</t>
  </si>
  <si>
    <t>AUPM420904MDFRLR05</t>
  </si>
  <si>
    <t>Anual</t>
  </si>
  <si>
    <t>vitalicio</t>
  </si>
  <si>
    <t>L</t>
  </si>
  <si>
    <t>012180004426536648</t>
  </si>
  <si>
    <t>BBVA Bancomer</t>
  </si>
  <si>
    <t>51500269392 - R48E00 CULTURA INBA SGBA FONDO ROTATORIO</t>
  </si>
  <si>
    <t>225
Compañía Nacional de Teatro</t>
  </si>
  <si>
    <t>ARTURO BERISTAIN BRAVO</t>
  </si>
  <si>
    <t>BEBA521109HDFRRR05</t>
  </si>
  <si>
    <t>012180001514929267</t>
  </si>
  <si>
    <t>FARNESIO BERNAL CONTRERAS</t>
  </si>
  <si>
    <t>BECF261120DF8</t>
  </si>
  <si>
    <t>BECF261120HMNRNR04</t>
  </si>
  <si>
    <t>No entrega informe</t>
  </si>
  <si>
    <t>002180014178722959</t>
  </si>
  <si>
    <t>Citibanamex</t>
  </si>
  <si>
    <t>OSCAR CANTU NARVAEZ</t>
  </si>
  <si>
    <t>CANO511117HPLNRS04</t>
  </si>
  <si>
    <t>002180066128683850</t>
  </si>
  <si>
    <t>JULIETA EGURROLA DIAZ COUDER</t>
  </si>
  <si>
    <t>EUDJ530613MDFGZL02</t>
  </si>
  <si>
    <t>002180426600363982</t>
  </si>
  <si>
    <t>ROSA MARIA GORBEA OSORIO</t>
  </si>
  <si>
    <t>GOOR340704MDFRSS00</t>
  </si>
  <si>
    <t>002180701520652896</t>
  </si>
  <si>
    <t>LUISA CARLOTA HUERTAS DAVALOS</t>
  </si>
  <si>
    <t>HUDL510624MNERVS11</t>
  </si>
  <si>
    <t>014180605075563074</t>
  </si>
  <si>
    <t>Santander</t>
  </si>
  <si>
    <t>ANA OFELIA MURGUIA DIAZ</t>
  </si>
  <si>
    <t>MUDA331208MDFRZN02</t>
  </si>
  <si>
    <t>002180034671359016</t>
  </si>
  <si>
    <t>ANGELINA JUANA PELAEZ BECERRIL</t>
  </si>
  <si>
    <t>PEBA430308F33</t>
  </si>
  <si>
    <t>PEBA430308F33MDFLCN09</t>
  </si>
  <si>
    <t>002180057378630798</t>
  </si>
  <si>
    <t>LUIS RABAGO HERNANDEZ</t>
  </si>
  <si>
    <t>RAHL480602HDFBRS04</t>
  </si>
  <si>
    <t>002180054188199464</t>
  </si>
  <si>
    <t>MARTA CARMELA VERDUZCO GUERRERO</t>
  </si>
  <si>
    <t>VEGM351015MZSRRR08</t>
  </si>
  <si>
    <t>036180401289666868</t>
  </si>
  <si>
    <t>INBURSA</t>
  </si>
  <si>
    <t>Categoría A</t>
  </si>
  <si>
    <t>MARCO ANTONIO GARCIA DELGADO</t>
  </si>
  <si>
    <t>GADM620609HCHRLR15.</t>
  </si>
  <si>
    <t>Semestral</t>
  </si>
  <si>
    <t>002164007477530671</t>
  </si>
  <si>
    <t>ERANDO ELOY GONZALEZ CHAVEZ</t>
  </si>
  <si>
    <t>GOCE531201HDFNHR09</t>
  </si>
  <si>
    <t>012180011308095863</t>
  </si>
  <si>
    <t>ZAIDE SILVIA GUITERREZ CRUZ</t>
  </si>
  <si>
    <t>GUCZ591102MDFTRD07</t>
  </si>
  <si>
    <t>002180041478827802</t>
  </si>
  <si>
    <t>GASTON MANUEL MELO CONTRERAS</t>
  </si>
  <si>
    <t>MECG380118HCHLNS09</t>
  </si>
  <si>
    <t>002542441700094172</t>
  </si>
  <si>
    <t>LAURA ESTHER PADILLA GONZALEZ</t>
  </si>
  <si>
    <t>PAGL601121MDFDNR07</t>
  </si>
  <si>
    <t>002180041277076139</t>
  </si>
  <si>
    <t>ERICKA PEDROZA DE LA LLAVE</t>
  </si>
  <si>
    <t>PELE670521MDFDLR09</t>
  </si>
  <si>
    <t>002180700683753617</t>
  </si>
  <si>
    <t>JOSE CARLOS RODRIGUEZ MARTINEZ</t>
  </si>
  <si>
    <t>ROMC540501HJCDRR01</t>
  </si>
  <si>
    <t>014180605938576878</t>
  </si>
  <si>
    <t>ROBERTO SOTO TOPETE</t>
  </si>
  <si>
    <t>SOTR631001HDFTPB05.</t>
  </si>
  <si>
    <t>002180066128824774</t>
  </si>
  <si>
    <t>Categoría B</t>
  </si>
  <si>
    <t>EDUARDO GARCIA CANDAS</t>
  </si>
  <si>
    <t>GACE761205HDFRND07</t>
  </si>
  <si>
    <t>002180700020507125</t>
  </si>
  <si>
    <t>ANA LIGIA GARCIA GARCIA</t>
  </si>
  <si>
    <t>GAGA750605MJCRRN00</t>
  </si>
  <si>
    <t>002180074600975971</t>
  </si>
  <si>
    <t>MARIANA GABRIELA GIMENEZ VIDELA</t>
  </si>
  <si>
    <t>GIVM680108MNEMDR06</t>
  </si>
  <si>
    <t>002180023669548594</t>
  </si>
  <si>
    <t>MIGUEL ANGEL HERNANDEZ COOPER</t>
  </si>
  <si>
    <t>HECM730607HDFRPG09</t>
  </si>
  <si>
    <t>044180001069372175</t>
  </si>
  <si>
    <t>Scotiabank</t>
  </si>
  <si>
    <t>MIGUEL ANGEL LOPEZ DELGADO</t>
  </si>
  <si>
    <t>LODM751001HPLPLG09</t>
  </si>
  <si>
    <t>002180700527282804</t>
  </si>
  <si>
    <t>ROSA GABRIELA NUNEZ GARCIA</t>
  </si>
  <si>
    <t>NUGR721120MDGXRS04</t>
  </si>
  <si>
    <t>002840010181414734</t>
  </si>
  <si>
    <t>ISRAEL ANTONIO ROJAS VILLARREAL</t>
  </si>
  <si>
    <t>ROVI730105HDGJLS07</t>
  </si>
  <si>
    <t>014180605224991604</t>
  </si>
  <si>
    <t>AMANDA SCHMELZ HERNER</t>
  </si>
  <si>
    <t>SEHA700804MDFCRM01</t>
  </si>
  <si>
    <t>072180003880076219</t>
  </si>
  <si>
    <t>Banorte</t>
  </si>
  <si>
    <t>RODRIGO VAZQUEZ BARCENA</t>
  </si>
  <si>
    <t>VARB720807HDFZRD05</t>
  </si>
  <si>
    <t>002180818700103540</t>
  </si>
  <si>
    <t>ANDRES WEISS SANTOS</t>
  </si>
  <si>
    <t>WESA731106HNESNN11</t>
  </si>
  <si>
    <t>002180700279786470</t>
  </si>
  <si>
    <t>Categoría C</t>
  </si>
  <si>
    <t>DIANA FIDELIA FLORES PALACIOS</t>
  </si>
  <si>
    <t>FOPD790721MDFLLN08</t>
  </si>
  <si>
    <t>002180095926663726</t>
  </si>
  <si>
    <t>FERNANDO GONZALEZ BUENO</t>
  </si>
  <si>
    <t>GOBF881008HDFNNR08</t>
  </si>
  <si>
    <t>002180701710991516</t>
  </si>
  <si>
    <t>SONIA YOJANA FRANCO DE LOS REYES</t>
  </si>
  <si>
    <t>FARS830330S98</t>
  </si>
  <si>
    <t>FARS830330MDFRYB07</t>
  </si>
  <si>
    <t>002180012843002692</t>
  </si>
  <si>
    <t>MIREYA GONZALEZ MARTINEZ</t>
  </si>
  <si>
    <t>GOMM871208DN9</t>
  </si>
  <si>
    <t>GOMM871208MDFNRR08</t>
  </si>
  <si>
    <t>072180006745810070</t>
  </si>
  <si>
    <t>DULCE MARIEL GUTIERREZ ACEVES</t>
  </si>
  <si>
    <t>GUAD8307213V0</t>
  </si>
  <si>
    <t>GUAD830721MMNTCL04</t>
  </si>
  <si>
    <t>012180014093947883</t>
  </si>
  <si>
    <t>GASTON OLAFF HERRERA MILLAN</t>
  </si>
  <si>
    <t>HEMG820408HCSRLS05</t>
  </si>
  <si>
    <t>012506028621732124</t>
  </si>
  <si>
    <t>NARA ALEIDA HIDALGO PECH</t>
  </si>
  <si>
    <t>HIPN860131MDFDCR03.</t>
  </si>
  <si>
    <t>012910015178289622</t>
  </si>
  <si>
    <t>FERNANDO HUERTA ZAMACONA</t>
  </si>
  <si>
    <t>HUZF810717HDFRMR02</t>
  </si>
  <si>
    <t>002180900739393129</t>
  </si>
  <si>
    <t>JUDITH INDA VALENCIA</t>
  </si>
  <si>
    <t>IAVJ790629NN4</t>
  </si>
  <si>
    <t>IAVJ790629MNENLD08</t>
  </si>
  <si>
    <t>012540012085239329</t>
  </si>
  <si>
    <t>JORGE ALBERTO LEON SALAZAR</t>
  </si>
  <si>
    <t>LESJ790329HSRNLR06</t>
  </si>
  <si>
    <t>002180095926673871</t>
  </si>
  <si>
    <t>ANA PAOLA LOAIZA VEGA</t>
  </si>
  <si>
    <t>LOVA920802MSLZGN09</t>
  </si>
  <si>
    <t>014180605817667374</t>
  </si>
  <si>
    <t>CARLOS ORDONEZ CRUZ</t>
  </si>
  <si>
    <t>OOCC830302HPLRRR01</t>
  </si>
  <si>
    <t>021180061899940578</t>
  </si>
  <si>
    <t>HSBC</t>
  </si>
  <si>
    <t>YLIA OCTAVIA POPESKU PERNIA</t>
  </si>
  <si>
    <t>POPY680818MNEPRL02</t>
  </si>
  <si>
    <t>072180000109155403</t>
  </si>
  <si>
    <t>CECILIA GABRIELA RAMIREZ ROMO</t>
  </si>
  <si>
    <t>RMRMCC82122905M100</t>
  </si>
  <si>
    <t>002180701546795355</t>
  </si>
  <si>
    <t>ROLDAN RAMIREZ GUTIERREZ</t>
  </si>
  <si>
    <t>RAGR840226EM1</t>
  </si>
  <si>
    <t>RAGR840226HDFMTL00</t>
  </si>
  <si>
    <t>044180001068615639</t>
  </si>
  <si>
    <t>CHRISTOPHER ALAN URIBE VILLARRUEL</t>
  </si>
  <si>
    <t>UIVC840908HDFRLH07</t>
  </si>
  <si>
    <t>044180001052662591</t>
  </si>
  <si>
    <t>Categoría D</t>
  </si>
  <si>
    <t>ARMANDO COMONFORT SANTIAGO</t>
  </si>
  <si>
    <t>COSA870329H98</t>
  </si>
  <si>
    <t>COSA870329HMSMNR08</t>
  </si>
  <si>
    <t>002180701436186582</t>
  </si>
  <si>
    <t>JOSE GOMEZ COVIAN</t>
  </si>
  <si>
    <t>GOCF930417HJCMVR05</t>
  </si>
  <si>
    <t>021180064632448917</t>
  </si>
  <si>
    <t>KARLA LOPEZ CAMARILLO</t>
  </si>
  <si>
    <t>LOCK841011MVZPMR02</t>
  </si>
  <si>
    <t>002840902523114823</t>
  </si>
  <si>
    <t>MARIA DEL MAR NADER RILOBA</t>
  </si>
  <si>
    <t>NARM940121MPLDLR03</t>
  </si>
  <si>
    <t>00218070379055806</t>
  </si>
  <si>
    <t>ANA KAREN PERAZA MENDEZ</t>
  </si>
  <si>
    <t>PEMA890501EI7</t>
  </si>
  <si>
    <t>PEMA890501MYNRNN09</t>
  </si>
  <si>
    <t>012180015105842749</t>
  </si>
  <si>
    <t>GUSTAVO ALBERTO SCHAAR PROM</t>
  </si>
  <si>
    <t>SAPG890908HVZCRS06</t>
  </si>
  <si>
    <t>002180701638648174</t>
  </si>
  <si>
    <t>MARIANA VILLASENOR DOMINGUEZ</t>
  </si>
  <si>
    <t>VIDM861121VA7</t>
  </si>
  <si>
    <t>VIDM861121MDFLMR04</t>
  </si>
  <si>
    <t>014180605781945672</t>
  </si>
  <si>
    <t>Músico residente</t>
  </si>
  <si>
    <t>CARLOS GOMEZ MATUS</t>
  </si>
  <si>
    <t>GOMC830219HVZMTR01</t>
  </si>
  <si>
    <t>014180566559666578</t>
  </si>
  <si>
    <t>PABLO RAMIREZ MARQUEZ</t>
  </si>
  <si>
    <t>RAMP760428HDFMRB00</t>
  </si>
  <si>
    <t>072180008679805230</t>
  </si>
  <si>
    <t>EDWIN TOVAR VAZQUEZ</t>
  </si>
  <si>
    <t>TOVE800325HDFVZD03</t>
  </si>
  <si>
    <t>072180000139663402</t>
  </si>
  <si>
    <t>Coordinador de taller escenotécnico</t>
  </si>
  <si>
    <t>ANABEL ALTAMIRANO GUTIERREZ</t>
  </si>
  <si>
    <t>AAGA801129MDFLTN07.</t>
  </si>
  <si>
    <t>021180063362062826</t>
  </si>
  <si>
    <t>ELSA LILIANA FIGUEROA VIZZUETT</t>
  </si>
  <si>
    <t>FIVE811108MDFGZL08</t>
  </si>
  <si>
    <t>014180605811109414</t>
  </si>
  <si>
    <t>IRMA ADRIANA PEREZ SOLIS</t>
  </si>
  <si>
    <t>PESI830413MSRRLR03</t>
  </si>
  <si>
    <t>044180001041970469</t>
  </si>
  <si>
    <t>GREGORIO PORTILLA SILVESTRE</t>
  </si>
  <si>
    <t>POSG931220HHGRLR07</t>
  </si>
  <si>
    <t>002180701079455531</t>
  </si>
  <si>
    <t>MELISA RAMOS GONZALEZ</t>
  </si>
  <si>
    <t>RAGM820903MDFMNL04</t>
  </si>
  <si>
    <t>002180700022255394</t>
  </si>
  <si>
    <t>CESAR ALEJANDRO VAZQUEZ  HERNANDEZ</t>
  </si>
  <si>
    <t>VZHRCS80010209H200</t>
  </si>
  <si>
    <t>014180605693117543</t>
  </si>
  <si>
    <t>Coordinación Nacional de Danza</t>
  </si>
  <si>
    <t>Interno</t>
  </si>
  <si>
    <t>AILEEN AGUILERA VALDES</t>
  </si>
  <si>
    <t>AUVA980530MCLGLL03</t>
  </si>
  <si>
    <t>Trimestral</t>
  </si>
  <si>
    <t>044060185024168328</t>
  </si>
  <si>
    <t>AZAREL MEZA BAHENA</t>
  </si>
  <si>
    <t>MEBA920113J49</t>
  </si>
  <si>
    <t>MEBA920113HSLZHZ09</t>
  </si>
  <si>
    <t>012730015707633421</t>
  </si>
  <si>
    <t>FRANK VAZQUEZ ALVAREZ</t>
  </si>
  <si>
    <t>VAAF951004AY5</t>
  </si>
  <si>
    <t>VAAF951004HMSZLR08</t>
  </si>
  <si>
    <t>012180015884069982</t>
  </si>
  <si>
    <t>IRMA SOFIA CAMPOS MATA</t>
  </si>
  <si>
    <t>CAMI971115368</t>
  </si>
  <si>
    <t>CAMI971115MMCMTR01</t>
  </si>
  <si>
    <t>072180003576970234</t>
  </si>
  <si>
    <t>SOFIA VARGAS MARCELO</t>
  </si>
  <si>
    <t>VAMS980903N99</t>
  </si>
  <si>
    <t>VAMS980903MGRRRF08</t>
  </si>
  <si>
    <t>012180015043041149</t>
  </si>
  <si>
    <t>TIFFANY OROZCO FIERRO</t>
  </si>
  <si>
    <t>FIOT951005MSLRRF04</t>
  </si>
  <si>
    <t>012180015112552695</t>
  </si>
  <si>
    <t>Residente</t>
  </si>
  <si>
    <t>HELENI CASTRO VELASCO</t>
  </si>
  <si>
    <t>CAVH870127MDFSLL01</t>
  </si>
  <si>
    <t>002022000275731261</t>
  </si>
  <si>
    <t>LUIS GARCIA NERI</t>
  </si>
  <si>
    <t>GANL920522HDFRRS08</t>
  </si>
  <si>
    <t>127180013397556073</t>
  </si>
  <si>
    <t>Banco Azteca</t>
  </si>
  <si>
    <t>OCTAVIO DAGNINO GUZMAN</t>
  </si>
  <si>
    <t>DAGO881010HBCGZC02</t>
  </si>
  <si>
    <t>002028700268193084</t>
  </si>
  <si>
    <t>PAMELA GRIMALDO MORALES</t>
  </si>
  <si>
    <t>GIMP910602MSPRRM08</t>
  </si>
  <si>
    <t>014700200067224575</t>
  </si>
  <si>
    <t>Compañía Nacional de Ópera</t>
  </si>
  <si>
    <t>Cantante</t>
  </si>
  <si>
    <t>CARLA EDITH HERNANDEZ OROZCO</t>
  </si>
  <si>
    <t>HEOC9012099Y6</t>
  </si>
  <si>
    <t>HEOC901209MNTRRR02</t>
  </si>
  <si>
    <t>1 de marzo 2020</t>
  </si>
  <si>
    <t>28 de febrero 2021</t>
  </si>
  <si>
    <t>014560200107329509</t>
  </si>
  <si>
    <t>ESAU EFRAIN CORRALEJO ZERMENO</t>
  </si>
  <si>
    <t>COZE9206202YA</t>
  </si>
  <si>
    <t>COZE920620HJCRRS05</t>
  </si>
  <si>
    <t>012180004731235294</t>
  </si>
  <si>
    <t>JESUS ERNESTO OCHOA TANORI</t>
  </si>
  <si>
    <t>OOTJ8803088F1</t>
  </si>
  <si>
    <t>OOTJ880308HSRCNS03</t>
  </si>
  <si>
    <t>012760004668834515</t>
  </si>
  <si>
    <t>JOSE ANTONIO ALCARAZ AZPIRI</t>
  </si>
  <si>
    <t>AAAA910302M91</t>
  </si>
  <si>
    <t>AAAA910302HDFLZN05</t>
  </si>
  <si>
    <t>002420700102714185</t>
  </si>
  <si>
    <t>PABLO ARANDAY GUTIERREZ</t>
  </si>
  <si>
    <t>AAGP8602268D0</t>
  </si>
  <si>
    <t>AAGP860226HDFRTB08</t>
  </si>
  <si>
    <t>127180016133379440</t>
  </si>
  <si>
    <t>RAFAEL ALEJANDRO DEL ANGEL GARCIA</t>
  </si>
  <si>
    <t>AEGR9108211M5</t>
  </si>
  <si>
    <t>AEGR910821HJCNRF07</t>
  </si>
  <si>
    <t>014320605614198233</t>
  </si>
  <si>
    <t>ROSA MARIA DAVILA RIVERA</t>
  </si>
  <si>
    <t>DARR940807443</t>
  </si>
  <si>
    <t>DARR940807MSRVVS07</t>
  </si>
  <si>
    <t>012730011393765422</t>
  </si>
  <si>
    <t>TANIA CECILIA SOLIS BAUTISTA</t>
  </si>
  <si>
    <t>SOBT951108QU1</t>
  </si>
  <si>
    <t>SOBT951108MDFLTN00</t>
  </si>
  <si>
    <t>002840701262440949</t>
  </si>
  <si>
    <t>YESICA JOCELIN ESTEFANIA QUEZADA LOPEZ</t>
  </si>
  <si>
    <t>QULY930208MDFZPS09</t>
  </si>
  <si>
    <t>012180015886054270</t>
  </si>
  <si>
    <t>Pianista</t>
  </si>
  <si>
    <t>DAVID ANTONIO DUENAS MATA</t>
  </si>
  <si>
    <t>DUMD841030HJCXTV09</t>
  </si>
  <si>
    <t>012180029134248559</t>
  </si>
  <si>
    <t>JOSE LUIS GONZALEZ RAMIREZ</t>
  </si>
  <si>
    <t>GORL9207047P0</t>
  </si>
  <si>
    <t>GORL920704HMCNMS07</t>
  </si>
  <si>
    <t>012420029175657209</t>
  </si>
  <si>
    <t>Coordinación Nacional de Música y Ópera</t>
  </si>
  <si>
    <t>Instrumentista, clarinete bajo</t>
  </si>
  <si>
    <t>LUIS ALFONSO MORA VAZQUEZ</t>
  </si>
  <si>
    <t>MOVL710526TC0</t>
  </si>
  <si>
    <t>MOVL710526HDFRZS04</t>
  </si>
  <si>
    <t>01 de septiembre del 2020</t>
  </si>
  <si>
    <t>31 de agosto del 2022</t>
  </si>
  <si>
    <t>002180054186983245</t>
  </si>
  <si>
    <t>Instrumentista, clarinete</t>
  </si>
  <si>
    <t>DIEGO CAJAS TORRES</t>
  </si>
  <si>
    <t>CATD811002LQ9</t>
  </si>
  <si>
    <t>CATD811002HDFJRG02</t>
  </si>
  <si>
    <t>002180051867808435</t>
  </si>
  <si>
    <t>Instrumentista, contrabajo</t>
  </si>
  <si>
    <t>JUAN JOSE GARCIA JIMENEZ</t>
  </si>
  <si>
    <t>GAJJ810224B53</t>
  </si>
  <si>
    <t>GAJJ810224HCLRMN07</t>
  </si>
  <si>
    <t>002180701120046271</t>
  </si>
  <si>
    <t>Instrumentista, corno</t>
  </si>
  <si>
    <t>ALFREDO FENOLLOSA BENAVENT</t>
  </si>
  <si>
    <t>FEBA880301T55</t>
  </si>
  <si>
    <t>FEBA880301HNENNL07</t>
  </si>
  <si>
    <t>012744015638686083</t>
  </si>
  <si>
    <t>Instrumentista, fagot</t>
  </si>
  <si>
    <t>JOSE ANGEL FLORES PEREZ</t>
  </si>
  <si>
    <t>FOPA830209RJ8</t>
  </si>
  <si>
    <t>FOPA830209HTLLRN07</t>
  </si>
  <si>
    <t>012650011297531175</t>
  </si>
  <si>
    <t>Instrumentista, flauta</t>
  </si>
  <si>
    <t>DIEGO MORABITO CORREA</t>
  </si>
  <si>
    <t>MOCD850119RR8</t>
  </si>
  <si>
    <t>MOCD850119HDFRRG06</t>
  </si>
  <si>
    <t>002180701576870677</t>
  </si>
  <si>
    <t>Instrumentista, percusión</t>
  </si>
  <si>
    <t>ABRAHAM PARRA ARAMBURO</t>
  </si>
  <si>
    <t>PAAA850706CU2</t>
  </si>
  <si>
    <t>PAAA850706HPLRRB05</t>
  </si>
  <si>
    <t>012180029602629943</t>
  </si>
  <si>
    <t>JUAN GABRIEL HERNANDEZ CALDERON</t>
  </si>
  <si>
    <t>HECJ730917PEA</t>
  </si>
  <si>
    <t>HECJ730917HDFRLN00</t>
  </si>
  <si>
    <t>002180033344031138</t>
  </si>
  <si>
    <t xml:space="preserve">Citibanamex </t>
  </si>
  <si>
    <t>Instrumentista, piano</t>
  </si>
  <si>
    <t>GONZALO GUTIERREZ ORTEGA</t>
  </si>
  <si>
    <t>GUOG720422DQ3</t>
  </si>
  <si>
    <t>GUOG720422HDFTRN01</t>
  </si>
  <si>
    <t>014180567002996600</t>
  </si>
  <si>
    <t>Instrumentista, trombón</t>
  </si>
  <si>
    <t>FRANCISCO JAVIER FRAUSTO MARES</t>
  </si>
  <si>
    <t>FAMF870608QD2</t>
  </si>
  <si>
    <t>FAMF870608HASRRR06</t>
  </si>
  <si>
    <t>014100567432812619</t>
  </si>
  <si>
    <t>Instrumentista, viola</t>
  </si>
  <si>
    <t>HENRY WILLIAMS AREVALO LOPEZ</t>
  </si>
  <si>
    <t>AELH911011BY6</t>
  </si>
  <si>
    <t>AELH911011HJCRPN07</t>
  </si>
  <si>
    <t>014180200103029979</t>
  </si>
  <si>
    <t xml:space="preserve">ALENA STRYUCHKOVA </t>
  </si>
  <si>
    <t>SUAL7805194P0</t>
  </si>
  <si>
    <t>SUXA780519MNETXL09</t>
  </si>
  <si>
    <t>002180701146397946</t>
  </si>
  <si>
    <t>Instrumentista, violonchelo</t>
  </si>
  <si>
    <t>ANA KAREN RODRIGUEZ LAZCANO</t>
  </si>
  <si>
    <t>ROLA890910IC0</t>
  </si>
  <si>
    <t>ROLA890910MNLDZN06</t>
  </si>
  <si>
    <t>072580002716931760</t>
  </si>
  <si>
    <t xml:space="preserve">Banorte </t>
  </si>
  <si>
    <t>DIEGO GUTIERREZ RUIZ</t>
  </si>
  <si>
    <t>GURD880314UY8</t>
  </si>
  <si>
    <t>GURD880314HPLTZG01</t>
  </si>
  <si>
    <t>002215700946062583</t>
  </si>
  <si>
    <t>Instrumentista, violín</t>
  </si>
  <si>
    <t>JUANMANUEL ANTONIO FLORES GOMEZ</t>
  </si>
  <si>
    <t>FOGJ870720CD8</t>
  </si>
  <si>
    <t>FOGJ870720HNLLMN09</t>
  </si>
  <si>
    <t>002580421000391382</t>
  </si>
  <si>
    <t>Instrumentistas, violín</t>
  </si>
  <si>
    <t>CARLA ELIZABETH BENITEZ RUIZ</t>
  </si>
  <si>
    <t>BERC831031FM7</t>
  </si>
  <si>
    <t>BERC831031MZSNZR09</t>
  </si>
  <si>
    <t>002934700269816797</t>
  </si>
  <si>
    <t>LEONARDO CHAVEZ CASTRO</t>
  </si>
  <si>
    <t>CACL791227-IK9</t>
  </si>
  <si>
    <t>CACL791227HDFHSN08</t>
  </si>
  <si>
    <t>002180018944299722</t>
  </si>
  <si>
    <t>CARLOS ALBERTO LOT Y ALADRO</t>
  </si>
  <si>
    <t>LOAC730312445</t>
  </si>
  <si>
    <t>LOAC730312HDFTLR04</t>
  </si>
  <si>
    <t>044180001039859262</t>
  </si>
  <si>
    <t>Total 
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</si>
</sst>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 &quot;&quot;$&quot;* #,##0.00&quot; &quot;;&quot;-&quot;&quot;$&quot;* #,##0.00&quot; &quot;;&quot; &quot;&quot;$&quot;* &quot;-&quot;??&quot; &quot;"/>
    <numFmt numFmtId="165" formatCode="_-&quot;$&quot;* #,##0.00_-;\-&quot;$&quot;* #,##0.00_-;_-&quot;$&quot;* &quot;-&quot;??_-;_-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1"/>
      <color theme="0"/>
      <name val="Montserrat"/>
    </font>
    <font>
      <b/>
      <sz val="11"/>
      <color theme="1"/>
      <name val="Montserrat"/>
    </font>
    <font>
      <b/>
      <sz val="11"/>
      <color rgb="FFC00000"/>
      <name val="Montserrat"/>
    </font>
    <font>
      <sz val="11"/>
      <name val="Montserrat"/>
    </font>
    <font>
      <sz val="11"/>
      <color indexed="8"/>
      <name val="Montserrat"/>
    </font>
    <font>
      <b/>
      <sz val="15"/>
      <color rgb="FFC00000"/>
      <name val="Montserrat"/>
    </font>
    <font>
      <sz val="11"/>
      <color theme="1"/>
      <name val="Montserrat Regular"/>
    </font>
    <font>
      <sz val="11"/>
      <color theme="4" tint="-0.249977111117893"/>
      <name val="Montserrat"/>
    </font>
    <font>
      <sz val="11"/>
      <color theme="4" tint="-0.249977111117893"/>
      <name val="Montserrat Regular"/>
    </font>
    <font>
      <sz val="11"/>
      <color theme="4" tint="-0.249977111117893"/>
      <name val="Calibri"/>
      <family val="2"/>
    </font>
    <font>
      <u/>
      <sz val="11"/>
      <color rgb="FFFFFFFF"/>
      <name val="Arial"/>
      <family val="2"/>
    </font>
    <font>
      <sz val="11"/>
      <color rgb="FFFFFFFF"/>
      <name val="Arial"/>
      <family val="2"/>
    </font>
    <font>
      <sz val="9"/>
      <color rgb="FFFFFFFF"/>
      <name val="Arial"/>
      <family val="2"/>
    </font>
    <font>
      <u/>
      <sz val="9"/>
      <color rgb="FFFFFFFF"/>
      <name val="Arial"/>
      <family val="2"/>
    </font>
    <font>
      <sz val="14"/>
      <color theme="1"/>
      <name val="Montserrat"/>
    </font>
    <font>
      <sz val="11"/>
      <color rgb="FF000000"/>
      <name val="Montserrat"/>
    </font>
    <font>
      <sz val="14"/>
      <color rgb="FF000000"/>
      <name val="Montserrat"/>
    </font>
    <font>
      <b/>
      <sz val="11"/>
      <color theme="4" tint="-0.249977111117893"/>
      <name val="Montserrat"/>
    </font>
    <font>
      <b/>
      <sz val="12"/>
      <color indexed="8"/>
      <name val="Montserrat"/>
    </font>
    <font>
      <b/>
      <sz val="13"/>
      <color theme="0"/>
      <name val="Montserrat"/>
    </font>
    <font>
      <b/>
      <sz val="20"/>
      <color rgb="FFFF0000"/>
      <name val="Montserra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0000"/>
        <bgColor rgb="FFC00000"/>
      </patternFill>
    </fill>
    <fill>
      <patternFill patternType="solid">
        <fgColor theme="0"/>
        <bgColor rgb="FF00FF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rgb="FFC00000"/>
      </patternFill>
    </fill>
    <fill>
      <patternFill patternType="solid">
        <fgColor rgb="FFFFFF00"/>
        <bgColor rgb="FF00FF00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theme="0"/>
      </left>
      <right/>
      <top style="medium">
        <color rgb="FFC00000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6">
    <xf numFmtId="0" fontId="0" fillId="0" borderId="0" xfId="0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 wrapText="1"/>
    </xf>
    <xf numFmtId="0" fontId="0" fillId="2" borderId="0" xfId="0" applyFill="1"/>
    <xf numFmtId="0" fontId="8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164" fontId="21" fillId="2" borderId="1" xfId="0" applyNumberFormat="1" applyFont="1" applyFill="1" applyBorder="1" applyAlignment="1">
      <alignment vertical="center"/>
    </xf>
    <xf numFmtId="0" fontId="22" fillId="4" borderId="2" xfId="0" applyFont="1" applyFill="1" applyBorder="1" applyAlignment="1">
      <alignment horizontal="center" vertical="center" wrapText="1"/>
    </xf>
    <xf numFmtId="164" fontId="21" fillId="2" borderId="0" xfId="0" applyNumberFormat="1" applyFont="1" applyFill="1" applyAlignment="1">
      <alignment vertical="center"/>
    </xf>
    <xf numFmtId="0" fontId="23" fillId="2" borderId="4" xfId="0" applyFont="1" applyFill="1" applyBorder="1" applyAlignment="1">
      <alignment horizontal="center" vertical="center" textRotation="180"/>
    </xf>
    <xf numFmtId="0" fontId="3" fillId="7" borderId="3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14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165" fontId="2" fillId="5" borderId="4" xfId="0" applyNumberFormat="1" applyFont="1" applyFill="1" applyBorder="1" applyAlignment="1">
      <alignment vertical="center"/>
    </xf>
    <xf numFmtId="0" fontId="17" fillId="2" borderId="4" xfId="0" quotePrefix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19" fillId="2" borderId="4" xfId="0" quotePrefix="1" applyFont="1" applyFill="1" applyBorder="1" applyAlignment="1">
      <alignment horizontal="center" vertical="center" wrapText="1"/>
    </xf>
    <xf numFmtId="0" fontId="18" fillId="6" borderId="4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49" fontId="19" fillId="2" borderId="4" xfId="0" quotePrefix="1" applyNumberFormat="1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7" fillId="2" borderId="4" xfId="0" quotePrefix="1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14" fontId="10" fillId="2" borderId="4" xfId="0" applyNumberFormat="1" applyFont="1" applyFill="1" applyBorder="1" applyAlignment="1">
      <alignment horizontal="center" vertical="center" wrapText="1"/>
    </xf>
    <xf numFmtId="44" fontId="2" fillId="0" borderId="4" xfId="1" applyFont="1" applyBorder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15" fontId="11" fillId="2" borderId="4" xfId="0" applyNumberFormat="1" applyFont="1" applyFill="1" applyBorder="1" applyAlignment="1">
      <alignment horizontal="center" vertical="center"/>
    </xf>
    <xf numFmtId="44" fontId="2" fillId="2" borderId="4" xfId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/>
    </xf>
    <xf numFmtId="49" fontId="0" fillId="2" borderId="4" xfId="0" applyNumberFormat="1" applyFill="1" applyBorder="1" applyAlignment="1">
      <alignment horizontal="center" vertical="center"/>
    </xf>
    <xf numFmtId="49" fontId="12" fillId="2" borderId="4" xfId="0" applyNumberFormat="1" applyFont="1" applyFill="1" applyBorder="1" applyAlignment="1">
      <alignment horizontal="center" vertical="center"/>
    </xf>
    <xf numFmtId="164" fontId="7" fillId="2" borderId="4" xfId="0" applyNumberFormat="1" applyFont="1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49" fontId="7" fillId="2" borderId="10" xfId="0" applyNumberFormat="1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49" fontId="7" fillId="2" borderId="10" xfId="0" applyNumberFormat="1" applyFont="1" applyFill="1" applyBorder="1" applyAlignment="1">
      <alignment horizontal="center" vertical="center"/>
    </xf>
    <xf numFmtId="49" fontId="0" fillId="2" borderId="10" xfId="0" applyNumberFormat="1" applyFill="1" applyBorder="1" applyAlignment="1">
      <alignment horizontal="center" vertical="center"/>
    </xf>
    <xf numFmtId="49" fontId="12" fillId="2" borderId="10" xfId="0" applyNumberFormat="1" applyFont="1" applyFill="1" applyBorder="1" applyAlignment="1">
      <alignment horizontal="center" vertical="center"/>
    </xf>
    <xf numFmtId="164" fontId="7" fillId="2" borderId="10" xfId="0" applyNumberFormat="1" applyFont="1" applyFill="1" applyBorder="1" applyAlignment="1">
      <alignment vertical="center"/>
    </xf>
    <xf numFmtId="0" fontId="17" fillId="2" borderId="10" xfId="0" quotePrefix="1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justify" vertical="center"/>
    </xf>
    <xf numFmtId="165" fontId="2" fillId="2" borderId="4" xfId="0" applyNumberFormat="1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44" fontId="2" fillId="0" borderId="4" xfId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vertical="center"/>
    </xf>
    <xf numFmtId="165" fontId="2" fillId="8" borderId="4" xfId="0" applyNumberFormat="1" applyFont="1" applyFill="1" applyBorder="1" applyAlignment="1">
      <alignment vertical="center"/>
    </xf>
    <xf numFmtId="0" fontId="19" fillId="9" borderId="4" xfId="0" quotePrefix="1" applyFont="1" applyFill="1" applyBorder="1" applyAlignment="1">
      <alignment horizontal="center" vertical="center" wrapText="1"/>
    </xf>
    <xf numFmtId="0" fontId="17" fillId="9" borderId="4" xfId="0" quotePrefix="1" applyFont="1" applyFill="1" applyBorder="1" applyAlignment="1">
      <alignment horizontal="center" vertical="center"/>
    </xf>
    <xf numFmtId="2" fontId="17" fillId="2" borderId="4" xfId="0" quotePrefix="1" applyNumberFormat="1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</cellXfs>
  <cellStyles count="4">
    <cellStyle name="Millares 2" xfId="2" xr:uid="{00000000-0005-0000-0000-000000000000}"/>
    <cellStyle name="Moneda" xfId="1" builtinId="4"/>
    <cellStyle name="Moneda 2" xfId="3" xr:uid="{00000000-0005-0000-0000-000002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59AAF-EF7E-F94D-BF4B-ECB0E65844FB}">
  <sheetPr codeName="Hoja1"/>
  <dimension ref="B1:Z893"/>
  <sheetViews>
    <sheetView tabSelected="1" topLeftCell="I1" zoomScale="60" zoomScaleNormal="60" workbookViewId="0">
      <pane ySplit="4" topLeftCell="A5" activePane="bottomLeft" state="frozen"/>
      <selection pane="bottomLeft" activeCell="N5" sqref="N5"/>
    </sheetView>
  </sheetViews>
  <sheetFormatPr baseColWidth="10" defaultColWidth="12.7109375" defaultRowHeight="15" x14ac:dyDescent="0.25"/>
  <cols>
    <col min="1" max="1" width="12.7109375" style="3"/>
    <col min="2" max="2" width="7.140625" style="3" customWidth="1"/>
    <col min="3" max="3" width="18.42578125" style="3" customWidth="1"/>
    <col min="4" max="4" width="24.28515625" style="3" customWidth="1"/>
    <col min="5" max="5" width="24.42578125" style="3" bestFit="1" customWidth="1"/>
    <col min="6" max="6" width="18.42578125" style="3" customWidth="1"/>
    <col min="7" max="7" width="28.85546875" style="3" customWidth="1"/>
    <col min="8" max="8" width="18.42578125" style="3" customWidth="1"/>
    <col min="9" max="9" width="22.28515625" style="3" customWidth="1"/>
    <col min="10" max="10" width="17.28515625" style="3" customWidth="1"/>
    <col min="11" max="12" width="18.42578125" style="3" customWidth="1"/>
    <col min="13" max="13" width="32.5703125" style="3" customWidth="1"/>
    <col min="14" max="14" width="51" style="3" customWidth="1"/>
    <col min="15" max="15" width="28.28515625" style="3" customWidth="1"/>
    <col min="16" max="16" width="21.85546875" style="3" customWidth="1"/>
    <col min="17" max="17" width="48.5703125" style="3" customWidth="1"/>
    <col min="18" max="26" width="10" style="3" customWidth="1"/>
    <col min="27" max="16384" width="12.7109375" style="3"/>
  </cols>
  <sheetData>
    <row r="1" spans="2:26" x14ac:dyDescent="0.25">
      <c r="O1" s="3" t="s">
        <v>0</v>
      </c>
    </row>
    <row r="2" spans="2:26" ht="19.5" x14ac:dyDescent="0.25">
      <c r="B2" s="4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2:26" ht="15.75" thickBot="1" x14ac:dyDescent="0.3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2:26" ht="72" customHeight="1" x14ac:dyDescent="0.25">
      <c r="B4" s="11" t="s">
        <v>1</v>
      </c>
      <c r="C4" s="10" t="s">
        <v>2</v>
      </c>
      <c r="D4" s="12" t="s">
        <v>3</v>
      </c>
      <c r="E4" s="10" t="s">
        <v>4</v>
      </c>
      <c r="F4" s="10" t="s">
        <v>5</v>
      </c>
      <c r="G4" s="10" t="s">
        <v>6</v>
      </c>
      <c r="H4" s="10" t="s">
        <v>7</v>
      </c>
      <c r="I4" s="65" t="s">
        <v>8</v>
      </c>
      <c r="J4" s="65"/>
      <c r="K4" s="10" t="s">
        <v>9</v>
      </c>
      <c r="L4" s="10" t="s">
        <v>10</v>
      </c>
      <c r="M4" s="10" t="s">
        <v>11</v>
      </c>
      <c r="N4" s="64"/>
      <c r="O4" s="10" t="s">
        <v>10</v>
      </c>
      <c r="P4" s="10" t="s">
        <v>12</v>
      </c>
      <c r="Q4" s="13" t="s">
        <v>13</v>
      </c>
      <c r="R4" s="2"/>
      <c r="S4" s="2"/>
      <c r="T4" s="2"/>
      <c r="U4" s="2"/>
      <c r="V4" s="2"/>
      <c r="W4" s="2"/>
      <c r="X4" s="2"/>
      <c r="Y4" s="2"/>
      <c r="Z4" s="2"/>
    </row>
    <row r="5" spans="2:26" ht="60" x14ac:dyDescent="0.25">
      <c r="B5" s="14">
        <v>1</v>
      </c>
      <c r="C5" s="15" t="s">
        <v>14</v>
      </c>
      <c r="D5" s="15" t="s">
        <v>15</v>
      </c>
      <c r="E5" s="15" t="s">
        <v>16</v>
      </c>
      <c r="F5" s="16"/>
      <c r="G5" s="17" t="s">
        <v>17</v>
      </c>
      <c r="H5" s="15" t="s">
        <v>18</v>
      </c>
      <c r="I5" s="18">
        <v>2018</v>
      </c>
      <c r="J5" s="18" t="s">
        <v>19</v>
      </c>
      <c r="K5" s="19">
        <v>40000</v>
      </c>
      <c r="L5" s="9" t="s">
        <v>20</v>
      </c>
      <c r="M5" s="63" t="s">
        <v>21</v>
      </c>
      <c r="N5" s="63" t="str" cm="1">
        <f t="array" ref="N5">MARCO(M5)</f>
        <v>encontrada</v>
      </c>
      <c r="O5" s="9" t="s">
        <v>20</v>
      </c>
      <c r="P5" s="54" t="s">
        <v>22</v>
      </c>
      <c r="Q5" s="53" t="s">
        <v>23</v>
      </c>
      <c r="R5" s="1"/>
      <c r="S5" s="1"/>
      <c r="T5" s="1"/>
      <c r="U5" s="1"/>
      <c r="V5" s="1"/>
      <c r="W5" s="1"/>
      <c r="X5" s="1"/>
      <c r="Y5" s="1"/>
      <c r="Z5" s="1"/>
    </row>
    <row r="6" spans="2:26" ht="60" x14ac:dyDescent="0.25">
      <c r="B6" s="14">
        <v>2</v>
      </c>
      <c r="C6" s="15" t="s">
        <v>24</v>
      </c>
      <c r="D6" s="15" t="s">
        <v>15</v>
      </c>
      <c r="E6" s="15" t="s">
        <v>25</v>
      </c>
      <c r="F6" s="16"/>
      <c r="G6" s="17" t="s">
        <v>26</v>
      </c>
      <c r="H6" s="15" t="s">
        <v>18</v>
      </c>
      <c r="I6" s="18">
        <v>2016</v>
      </c>
      <c r="J6" s="18" t="s">
        <v>19</v>
      </c>
      <c r="K6" s="19">
        <v>40000</v>
      </c>
      <c r="L6" s="9" t="s">
        <v>20</v>
      </c>
      <c r="M6" s="20" t="s">
        <v>27</v>
      </c>
      <c r="N6" s="63" t="str" cm="1">
        <f t="array" ref="N6">MARCO(M6)</f>
        <v>encontrada</v>
      </c>
      <c r="O6" s="9" t="s">
        <v>20</v>
      </c>
      <c r="P6" s="54" t="s">
        <v>22</v>
      </c>
      <c r="Q6" s="55"/>
      <c r="R6" s="1"/>
      <c r="S6" s="1"/>
      <c r="T6" s="1"/>
      <c r="U6" s="1"/>
      <c r="V6" s="1"/>
      <c r="W6" s="1"/>
      <c r="X6" s="1"/>
      <c r="Y6" s="1"/>
      <c r="Z6" s="1"/>
    </row>
    <row r="7" spans="2:26" ht="60" x14ac:dyDescent="0.25">
      <c r="B7" s="14">
        <v>3</v>
      </c>
      <c r="C7" s="15" t="s">
        <v>24</v>
      </c>
      <c r="D7" s="15" t="s">
        <v>15</v>
      </c>
      <c r="E7" s="15" t="s">
        <v>28</v>
      </c>
      <c r="F7" s="17" t="s">
        <v>29</v>
      </c>
      <c r="G7" s="17" t="s">
        <v>30</v>
      </c>
      <c r="H7" s="15" t="s">
        <v>31</v>
      </c>
      <c r="I7" s="21">
        <v>2009</v>
      </c>
      <c r="J7" s="18" t="s">
        <v>19</v>
      </c>
      <c r="K7" s="19">
        <v>40000</v>
      </c>
      <c r="L7" s="9" t="s">
        <v>20</v>
      </c>
      <c r="M7" s="22" t="s">
        <v>32</v>
      </c>
      <c r="N7" s="63" t="str" cm="1">
        <f t="array" ref="N7">MARCO(M7)</f>
        <v>encontrada</v>
      </c>
      <c r="O7" s="9" t="s">
        <v>20</v>
      </c>
      <c r="P7" s="54" t="s">
        <v>33</v>
      </c>
      <c r="Q7" s="55"/>
      <c r="R7" s="1"/>
      <c r="S7" s="1"/>
      <c r="T7" s="1"/>
      <c r="U7" s="1"/>
      <c r="V7" s="1"/>
      <c r="W7" s="1"/>
      <c r="X7" s="1"/>
      <c r="Y7" s="1"/>
      <c r="Z7" s="1"/>
    </row>
    <row r="8" spans="2:26" ht="60" x14ac:dyDescent="0.25">
      <c r="B8" s="14">
        <v>4</v>
      </c>
      <c r="C8" s="15" t="s">
        <v>24</v>
      </c>
      <c r="D8" s="15" t="s">
        <v>15</v>
      </c>
      <c r="E8" s="15" t="s">
        <v>34</v>
      </c>
      <c r="F8" s="23"/>
      <c r="G8" s="24" t="s">
        <v>35</v>
      </c>
      <c r="H8" s="15" t="s">
        <v>18</v>
      </c>
      <c r="I8" s="21">
        <v>2018</v>
      </c>
      <c r="J8" s="18" t="s">
        <v>19</v>
      </c>
      <c r="K8" s="19">
        <v>40000</v>
      </c>
      <c r="L8" s="9" t="s">
        <v>20</v>
      </c>
      <c r="M8" s="25" t="s">
        <v>36</v>
      </c>
      <c r="N8" s="63" t="str" cm="1">
        <f t="array" ref="N8">MARCO(M8)</f>
        <v>encontrada</v>
      </c>
      <c r="O8" s="9" t="s">
        <v>20</v>
      </c>
      <c r="P8" s="54" t="s">
        <v>33</v>
      </c>
      <c r="Q8" s="55"/>
      <c r="R8" s="1"/>
      <c r="S8" s="1"/>
      <c r="T8" s="1"/>
      <c r="U8" s="1"/>
      <c r="V8" s="1"/>
      <c r="W8" s="1"/>
      <c r="X8" s="1"/>
      <c r="Y8" s="1"/>
      <c r="Z8" s="1"/>
    </row>
    <row r="9" spans="2:26" ht="60" x14ac:dyDescent="0.25">
      <c r="B9" s="14">
        <v>5</v>
      </c>
      <c r="C9" s="15" t="s">
        <v>24</v>
      </c>
      <c r="D9" s="15" t="s">
        <v>15</v>
      </c>
      <c r="E9" s="15" t="s">
        <v>37</v>
      </c>
      <c r="F9" s="26"/>
      <c r="G9" s="27" t="s">
        <v>38</v>
      </c>
      <c r="H9" s="15" t="s">
        <v>18</v>
      </c>
      <c r="I9" s="21">
        <v>2014</v>
      </c>
      <c r="J9" s="18" t="s">
        <v>19</v>
      </c>
      <c r="K9" s="19">
        <v>40000</v>
      </c>
      <c r="L9" s="9" t="s">
        <v>20</v>
      </c>
      <c r="M9" s="28" t="s">
        <v>39</v>
      </c>
      <c r="N9" s="63" t="str" cm="1">
        <f t="array" ref="N9">MARCO(M9)</f>
        <v>encontrada</v>
      </c>
      <c r="O9" s="9" t="s">
        <v>20</v>
      </c>
      <c r="P9" s="54" t="s">
        <v>33</v>
      </c>
      <c r="Q9" s="55"/>
      <c r="R9" s="1"/>
      <c r="S9" s="1"/>
      <c r="T9" s="1"/>
      <c r="U9" s="1"/>
      <c r="V9" s="1"/>
      <c r="W9" s="1"/>
      <c r="X9" s="1"/>
      <c r="Y9" s="1"/>
      <c r="Z9" s="1"/>
    </row>
    <row r="10" spans="2:26" ht="60" x14ac:dyDescent="0.25">
      <c r="B10" s="14">
        <v>6</v>
      </c>
      <c r="C10" s="15" t="s">
        <v>24</v>
      </c>
      <c r="D10" s="15" t="s">
        <v>15</v>
      </c>
      <c r="E10" s="15" t="s">
        <v>40</v>
      </c>
      <c r="F10" s="16"/>
      <c r="G10" s="17" t="s">
        <v>41</v>
      </c>
      <c r="H10" s="15" t="s">
        <v>31</v>
      </c>
      <c r="I10" s="21">
        <v>2008</v>
      </c>
      <c r="J10" s="18" t="s">
        <v>19</v>
      </c>
      <c r="K10" s="19">
        <v>40000</v>
      </c>
      <c r="L10" s="9" t="s">
        <v>20</v>
      </c>
      <c r="M10" s="28" t="s">
        <v>42</v>
      </c>
      <c r="N10" s="63" t="str" cm="1">
        <f t="array" ref="N10">MARCO(M10)</f>
        <v>encontrada</v>
      </c>
      <c r="O10" s="9" t="s">
        <v>20</v>
      </c>
      <c r="P10" s="54" t="s">
        <v>33</v>
      </c>
      <c r="Q10" s="55"/>
      <c r="R10" s="1"/>
      <c r="S10" s="1"/>
      <c r="T10" s="1"/>
      <c r="U10" s="1"/>
      <c r="V10" s="1"/>
      <c r="W10" s="1"/>
      <c r="X10" s="1"/>
      <c r="Y10" s="1"/>
      <c r="Z10" s="1"/>
    </row>
    <row r="11" spans="2:26" ht="60" x14ac:dyDescent="0.25">
      <c r="B11" s="14">
        <v>7</v>
      </c>
      <c r="C11" s="15" t="s">
        <v>24</v>
      </c>
      <c r="D11" s="15" t="s">
        <v>15</v>
      </c>
      <c r="E11" s="15" t="s">
        <v>43</v>
      </c>
      <c r="F11" s="16"/>
      <c r="G11" s="17" t="s">
        <v>44</v>
      </c>
      <c r="H11" s="15" t="s">
        <v>18</v>
      </c>
      <c r="I11" s="21">
        <v>2016</v>
      </c>
      <c r="J11" s="18" t="s">
        <v>19</v>
      </c>
      <c r="K11" s="19">
        <v>40000</v>
      </c>
      <c r="L11" s="60"/>
      <c r="M11" s="22" t="s">
        <v>45</v>
      </c>
      <c r="N11" s="63" t="str" cm="1">
        <f t="array" ref="N11">MARCO(M11)</f>
        <v>No encontrada</v>
      </c>
      <c r="O11" s="61"/>
      <c r="P11" s="54" t="s">
        <v>46</v>
      </c>
      <c r="Q11" s="55"/>
      <c r="R11" s="1"/>
      <c r="S11" s="1"/>
      <c r="T11" s="1"/>
      <c r="U11" s="1"/>
      <c r="V11" s="1"/>
      <c r="W11" s="1"/>
      <c r="X11" s="1"/>
      <c r="Y11" s="1"/>
      <c r="Z11" s="1"/>
    </row>
    <row r="12" spans="2:26" ht="60" x14ac:dyDescent="0.25">
      <c r="B12" s="14">
        <v>8</v>
      </c>
      <c r="C12" s="15" t="s">
        <v>24</v>
      </c>
      <c r="D12" s="15" t="s">
        <v>15</v>
      </c>
      <c r="E12" s="15" t="s">
        <v>47</v>
      </c>
      <c r="F12" s="16"/>
      <c r="G12" s="17" t="s">
        <v>48</v>
      </c>
      <c r="H12" s="15" t="s">
        <v>31</v>
      </c>
      <c r="I12" s="21">
        <v>2008</v>
      </c>
      <c r="J12" s="18" t="s">
        <v>19</v>
      </c>
      <c r="K12" s="19">
        <v>40000</v>
      </c>
      <c r="L12" s="9" t="s">
        <v>20</v>
      </c>
      <c r="M12" s="28" t="s">
        <v>49</v>
      </c>
      <c r="N12" s="63" t="str" cm="1">
        <f t="array" ref="N12">MARCO(M12)</f>
        <v>encontrada</v>
      </c>
      <c r="O12" s="9" t="s">
        <v>20</v>
      </c>
      <c r="P12" s="54" t="s">
        <v>33</v>
      </c>
      <c r="Q12" s="55"/>
      <c r="R12" s="1"/>
      <c r="S12" s="1"/>
      <c r="T12" s="1"/>
      <c r="U12" s="1"/>
      <c r="V12" s="1"/>
      <c r="W12" s="1"/>
      <c r="X12" s="1"/>
      <c r="Y12" s="1"/>
      <c r="Z12" s="1"/>
    </row>
    <row r="13" spans="2:26" ht="60" x14ac:dyDescent="0.25">
      <c r="B13" s="14">
        <v>9</v>
      </c>
      <c r="C13" s="15" t="s">
        <v>24</v>
      </c>
      <c r="D13" s="15" t="s">
        <v>15</v>
      </c>
      <c r="E13" s="15" t="s">
        <v>50</v>
      </c>
      <c r="F13" s="17" t="s">
        <v>51</v>
      </c>
      <c r="G13" s="17" t="s">
        <v>52</v>
      </c>
      <c r="H13" s="15" t="s">
        <v>31</v>
      </c>
      <c r="I13" s="21">
        <v>2008</v>
      </c>
      <c r="J13" s="18" t="s">
        <v>19</v>
      </c>
      <c r="K13" s="19">
        <v>40000</v>
      </c>
      <c r="L13" s="9" t="s">
        <v>20</v>
      </c>
      <c r="M13" s="22" t="s">
        <v>53</v>
      </c>
      <c r="N13" s="63" t="str" cm="1">
        <f t="array" ref="N13">MARCO(M13)</f>
        <v>encontrada</v>
      </c>
      <c r="O13" s="9" t="s">
        <v>20</v>
      </c>
      <c r="P13" s="54" t="s">
        <v>33</v>
      </c>
      <c r="Q13" s="55"/>
      <c r="R13" s="1"/>
      <c r="S13" s="1"/>
      <c r="T13" s="1"/>
      <c r="U13" s="1"/>
      <c r="V13" s="1"/>
      <c r="W13" s="1"/>
      <c r="X13" s="1"/>
      <c r="Y13" s="1"/>
      <c r="Z13" s="1"/>
    </row>
    <row r="14" spans="2:26" ht="60" x14ac:dyDescent="0.25">
      <c r="B14" s="14">
        <v>10</v>
      </c>
      <c r="C14" s="15" t="s">
        <v>24</v>
      </c>
      <c r="D14" s="15" t="s">
        <v>15</v>
      </c>
      <c r="E14" s="15" t="s">
        <v>54</v>
      </c>
      <c r="F14" s="16"/>
      <c r="G14" s="17" t="s">
        <v>55</v>
      </c>
      <c r="H14" s="27" t="s">
        <v>18</v>
      </c>
      <c r="I14" s="21">
        <v>2014</v>
      </c>
      <c r="J14" s="18" t="s">
        <v>19</v>
      </c>
      <c r="K14" s="19">
        <v>40000</v>
      </c>
      <c r="L14" s="9" t="s">
        <v>20</v>
      </c>
      <c r="M14" s="20" t="s">
        <v>56</v>
      </c>
      <c r="N14" s="63" t="str" cm="1">
        <f t="array" ref="N14">MARCO(M14)</f>
        <v>encontrada</v>
      </c>
      <c r="O14" s="9" t="s">
        <v>20</v>
      </c>
      <c r="P14" s="54" t="s">
        <v>33</v>
      </c>
      <c r="Q14" s="55"/>
      <c r="R14" s="1"/>
      <c r="S14" s="1"/>
      <c r="T14" s="1"/>
      <c r="U14" s="1"/>
      <c r="V14" s="1"/>
      <c r="W14" s="1"/>
      <c r="X14" s="1"/>
      <c r="Y14" s="1"/>
      <c r="Z14" s="1"/>
    </row>
    <row r="15" spans="2:26" ht="60" x14ac:dyDescent="0.25">
      <c r="B15" s="14">
        <v>11</v>
      </c>
      <c r="C15" s="15" t="s">
        <v>24</v>
      </c>
      <c r="D15" s="15" t="s">
        <v>15</v>
      </c>
      <c r="E15" s="15" t="s">
        <v>57</v>
      </c>
      <c r="F15" s="16"/>
      <c r="G15" s="17" t="s">
        <v>58</v>
      </c>
      <c r="H15" s="27" t="s">
        <v>31</v>
      </c>
      <c r="I15" s="21">
        <v>2009</v>
      </c>
      <c r="J15" s="18" t="s">
        <v>19</v>
      </c>
      <c r="K15" s="19">
        <v>40000</v>
      </c>
      <c r="L15" s="9" t="s">
        <v>20</v>
      </c>
      <c r="M15" s="28" t="s">
        <v>59</v>
      </c>
      <c r="N15" s="63" t="str" cm="1">
        <f t="array" ref="N15">MARCO(M15)</f>
        <v>No encontrada</v>
      </c>
      <c r="O15" s="9" t="s">
        <v>20</v>
      </c>
      <c r="P15" s="54" t="s">
        <v>60</v>
      </c>
      <c r="Q15" s="55"/>
      <c r="R15" s="1"/>
      <c r="S15" s="1"/>
      <c r="T15" s="1"/>
      <c r="U15" s="1"/>
      <c r="V15" s="1"/>
      <c r="W15" s="1"/>
      <c r="X15" s="1"/>
      <c r="Y15" s="1"/>
      <c r="Z15" s="1"/>
    </row>
    <row r="16" spans="2:26" ht="60" x14ac:dyDescent="0.25">
      <c r="B16" s="14">
        <v>12</v>
      </c>
      <c r="C16" s="15" t="s">
        <v>24</v>
      </c>
      <c r="D16" s="15" t="s">
        <v>61</v>
      </c>
      <c r="E16" s="15" t="s">
        <v>62</v>
      </c>
      <c r="F16" s="16"/>
      <c r="G16" s="17" t="s">
        <v>63</v>
      </c>
      <c r="H16" s="27" t="s">
        <v>64</v>
      </c>
      <c r="I16" s="29">
        <v>2020</v>
      </c>
      <c r="J16" s="29">
        <v>2022</v>
      </c>
      <c r="K16" s="19">
        <v>40000</v>
      </c>
      <c r="L16" s="9" t="s">
        <v>20</v>
      </c>
      <c r="M16" s="20" t="s">
        <v>65</v>
      </c>
      <c r="N16" s="63" t="str" cm="1">
        <f t="array" ref="N16">MARCO(M16)</f>
        <v>encontrada</v>
      </c>
      <c r="O16" s="9" t="s">
        <v>20</v>
      </c>
      <c r="P16" s="54" t="s">
        <v>33</v>
      </c>
      <c r="Q16" s="55"/>
      <c r="R16" s="1"/>
      <c r="S16" s="1"/>
      <c r="T16" s="1"/>
      <c r="U16" s="1"/>
      <c r="V16" s="1"/>
      <c r="W16" s="1"/>
      <c r="X16" s="1"/>
      <c r="Y16" s="1"/>
      <c r="Z16" s="1"/>
    </row>
    <row r="17" spans="2:26" ht="60" x14ac:dyDescent="0.25">
      <c r="B17" s="14">
        <v>13</v>
      </c>
      <c r="C17" s="15" t="s">
        <v>24</v>
      </c>
      <c r="D17" s="15" t="s">
        <v>61</v>
      </c>
      <c r="E17" s="15" t="s">
        <v>66</v>
      </c>
      <c r="F17" s="16"/>
      <c r="G17" s="17" t="s">
        <v>67</v>
      </c>
      <c r="H17" s="27" t="s">
        <v>64</v>
      </c>
      <c r="I17" s="29">
        <v>2020</v>
      </c>
      <c r="J17" s="29">
        <v>2022</v>
      </c>
      <c r="K17" s="19">
        <v>40000</v>
      </c>
      <c r="L17" s="9" t="s">
        <v>20</v>
      </c>
      <c r="M17" s="20" t="s">
        <v>68</v>
      </c>
      <c r="N17" s="63" t="str" cm="1">
        <f t="array" ref="N17">MARCO(M17)</f>
        <v>encontrada</v>
      </c>
      <c r="O17" s="9" t="s">
        <v>20</v>
      </c>
      <c r="P17" s="54" t="s">
        <v>22</v>
      </c>
      <c r="Q17" s="55"/>
      <c r="R17" s="1"/>
      <c r="S17" s="1"/>
      <c r="T17" s="1"/>
      <c r="U17" s="1"/>
      <c r="V17" s="1"/>
      <c r="W17" s="1"/>
      <c r="X17" s="1"/>
      <c r="Y17" s="1"/>
      <c r="Z17" s="1"/>
    </row>
    <row r="18" spans="2:26" ht="60" x14ac:dyDescent="0.25">
      <c r="B18" s="14">
        <v>14</v>
      </c>
      <c r="C18" s="15" t="s">
        <v>24</v>
      </c>
      <c r="D18" s="15" t="s">
        <v>61</v>
      </c>
      <c r="E18" s="15" t="s">
        <v>69</v>
      </c>
      <c r="F18" s="16"/>
      <c r="G18" s="17" t="s">
        <v>70</v>
      </c>
      <c r="H18" s="27" t="s">
        <v>64</v>
      </c>
      <c r="I18" s="29">
        <v>2020</v>
      </c>
      <c r="J18" s="29">
        <v>2022</v>
      </c>
      <c r="K18" s="19">
        <v>40000</v>
      </c>
      <c r="L18" s="9" t="s">
        <v>20</v>
      </c>
      <c r="M18" s="20" t="s">
        <v>71</v>
      </c>
      <c r="N18" s="63" t="str" cm="1">
        <f t="array" ref="N18">MARCO(M18)</f>
        <v>encontrada</v>
      </c>
      <c r="O18" s="9" t="s">
        <v>20</v>
      </c>
      <c r="P18" s="54" t="s">
        <v>33</v>
      </c>
      <c r="Q18" s="55"/>
      <c r="R18" s="1"/>
      <c r="S18" s="1"/>
      <c r="T18" s="1"/>
      <c r="U18" s="1"/>
      <c r="V18" s="1"/>
      <c r="W18" s="1"/>
      <c r="X18" s="1"/>
      <c r="Y18" s="1"/>
      <c r="Z18" s="1"/>
    </row>
    <row r="19" spans="2:26" ht="60" x14ac:dyDescent="0.25">
      <c r="B19" s="14">
        <v>15</v>
      </c>
      <c r="C19" s="15" t="s">
        <v>24</v>
      </c>
      <c r="D19" s="15" t="s">
        <v>61</v>
      </c>
      <c r="E19" s="15" t="s">
        <v>72</v>
      </c>
      <c r="F19" s="16"/>
      <c r="G19" s="17" t="s">
        <v>73</v>
      </c>
      <c r="H19" s="27" t="s">
        <v>64</v>
      </c>
      <c r="I19" s="29">
        <v>2020</v>
      </c>
      <c r="J19" s="29">
        <v>2022</v>
      </c>
      <c r="K19" s="19">
        <v>40000</v>
      </c>
      <c r="L19" s="9" t="s">
        <v>20</v>
      </c>
      <c r="M19" s="20" t="s">
        <v>74</v>
      </c>
      <c r="N19" s="63" t="str" cm="1">
        <f t="array" ref="N19">MARCO(M19)</f>
        <v>encontrada</v>
      </c>
      <c r="O19" s="9" t="s">
        <v>20</v>
      </c>
      <c r="P19" s="54" t="s">
        <v>33</v>
      </c>
      <c r="Q19" s="55"/>
      <c r="R19" s="1"/>
      <c r="S19" s="1"/>
      <c r="T19" s="1"/>
      <c r="U19" s="1"/>
      <c r="V19" s="1"/>
      <c r="W19" s="1"/>
      <c r="X19" s="1"/>
      <c r="Y19" s="1"/>
      <c r="Z19" s="1"/>
    </row>
    <row r="20" spans="2:26" ht="60" x14ac:dyDescent="0.25">
      <c r="B20" s="14">
        <v>16</v>
      </c>
      <c r="C20" s="15" t="s">
        <v>24</v>
      </c>
      <c r="D20" s="15" t="s">
        <v>61</v>
      </c>
      <c r="E20" s="15" t="s">
        <v>75</v>
      </c>
      <c r="F20" s="16"/>
      <c r="G20" s="17" t="s">
        <v>76</v>
      </c>
      <c r="H20" s="27" t="s">
        <v>64</v>
      </c>
      <c r="I20" s="29">
        <v>2020</v>
      </c>
      <c r="J20" s="29">
        <v>2022</v>
      </c>
      <c r="K20" s="19">
        <v>40000</v>
      </c>
      <c r="L20" s="9" t="s">
        <v>20</v>
      </c>
      <c r="M20" s="20" t="s">
        <v>77</v>
      </c>
      <c r="N20" s="63" t="str" cm="1">
        <f t="array" ref="N20">MARCO(M20)</f>
        <v>encontrada</v>
      </c>
      <c r="O20" s="9" t="s">
        <v>20</v>
      </c>
      <c r="P20" s="54" t="s">
        <v>33</v>
      </c>
      <c r="Q20" s="55"/>
      <c r="R20" s="1"/>
      <c r="S20" s="1"/>
      <c r="T20" s="1"/>
      <c r="U20" s="1"/>
      <c r="V20" s="1"/>
      <c r="W20" s="1"/>
      <c r="X20" s="1"/>
      <c r="Y20" s="1"/>
      <c r="Z20" s="1"/>
    </row>
    <row r="21" spans="2:26" ht="60" x14ac:dyDescent="0.25">
      <c r="B21" s="14">
        <v>17</v>
      </c>
      <c r="C21" s="15" t="s">
        <v>24</v>
      </c>
      <c r="D21" s="15" t="s">
        <v>61</v>
      </c>
      <c r="E21" s="15" t="s">
        <v>78</v>
      </c>
      <c r="F21" s="16"/>
      <c r="G21" s="17" t="s">
        <v>79</v>
      </c>
      <c r="H21" s="27" t="s">
        <v>64</v>
      </c>
      <c r="I21" s="29">
        <v>2020</v>
      </c>
      <c r="J21" s="29">
        <v>2022</v>
      </c>
      <c r="K21" s="19">
        <v>40000</v>
      </c>
      <c r="L21" s="9" t="s">
        <v>20</v>
      </c>
      <c r="M21" s="20" t="s">
        <v>80</v>
      </c>
      <c r="N21" s="63" t="str" cm="1">
        <f t="array" ref="N21">MARCO(M21)</f>
        <v>encontrada</v>
      </c>
      <c r="O21" s="9" t="s">
        <v>20</v>
      </c>
      <c r="P21" s="54" t="s">
        <v>33</v>
      </c>
      <c r="Q21" s="55"/>
      <c r="R21" s="1"/>
      <c r="S21" s="1"/>
      <c r="T21" s="1"/>
      <c r="U21" s="1"/>
      <c r="V21" s="1"/>
      <c r="W21" s="1"/>
      <c r="X21" s="1"/>
      <c r="Y21" s="1"/>
      <c r="Z21" s="1"/>
    </row>
    <row r="22" spans="2:26" ht="60" x14ac:dyDescent="0.25">
      <c r="B22" s="14">
        <v>18</v>
      </c>
      <c r="C22" s="15" t="s">
        <v>24</v>
      </c>
      <c r="D22" s="15" t="s">
        <v>61</v>
      </c>
      <c r="E22" s="15" t="s">
        <v>81</v>
      </c>
      <c r="F22" s="16"/>
      <c r="G22" s="17" t="s">
        <v>82</v>
      </c>
      <c r="H22" s="27" t="s">
        <v>64</v>
      </c>
      <c r="I22" s="29">
        <v>2020</v>
      </c>
      <c r="J22" s="29">
        <v>2022</v>
      </c>
      <c r="K22" s="19">
        <v>40000</v>
      </c>
      <c r="L22" s="60"/>
      <c r="M22" s="20" t="s">
        <v>83</v>
      </c>
      <c r="N22" s="63" t="str" cm="1">
        <f t="array" ref="N22">MARCO(M22)</f>
        <v>No encontrada</v>
      </c>
      <c r="O22" s="62"/>
      <c r="P22" s="54" t="s">
        <v>46</v>
      </c>
      <c r="Q22" s="55"/>
      <c r="R22" s="1"/>
      <c r="S22" s="1"/>
      <c r="T22" s="1"/>
      <c r="U22" s="1"/>
      <c r="V22" s="1"/>
      <c r="W22" s="1"/>
      <c r="X22" s="1"/>
      <c r="Y22" s="1"/>
      <c r="Z22" s="1"/>
    </row>
    <row r="23" spans="2:26" ht="60" x14ac:dyDescent="0.25">
      <c r="B23" s="14">
        <v>19</v>
      </c>
      <c r="C23" s="15" t="s">
        <v>24</v>
      </c>
      <c r="D23" s="15" t="s">
        <v>61</v>
      </c>
      <c r="E23" s="15" t="s">
        <v>84</v>
      </c>
      <c r="F23" s="16"/>
      <c r="G23" s="17" t="s">
        <v>85</v>
      </c>
      <c r="H23" s="27" t="s">
        <v>64</v>
      </c>
      <c r="I23" s="29">
        <v>2020</v>
      </c>
      <c r="J23" s="29">
        <v>2022</v>
      </c>
      <c r="K23" s="19">
        <v>40000</v>
      </c>
      <c r="L23" s="9" t="s">
        <v>20</v>
      </c>
      <c r="M23" s="20" t="s">
        <v>86</v>
      </c>
      <c r="N23" s="63" t="str" cm="1">
        <f t="array" ref="N23">MARCO(M23)</f>
        <v>encontrada</v>
      </c>
      <c r="O23" s="9" t="s">
        <v>20</v>
      </c>
      <c r="P23" s="54" t="s">
        <v>33</v>
      </c>
      <c r="Q23" s="55"/>
      <c r="R23" s="1"/>
      <c r="S23" s="1"/>
      <c r="T23" s="1"/>
      <c r="U23" s="1"/>
      <c r="V23" s="1"/>
      <c r="W23" s="1"/>
      <c r="X23" s="1"/>
      <c r="Y23" s="1"/>
      <c r="Z23" s="1"/>
    </row>
    <row r="24" spans="2:26" ht="60" x14ac:dyDescent="0.25">
      <c r="B24" s="14">
        <v>20</v>
      </c>
      <c r="C24" s="15" t="s">
        <v>24</v>
      </c>
      <c r="D24" s="15" t="s">
        <v>87</v>
      </c>
      <c r="E24" s="15" t="s">
        <v>88</v>
      </c>
      <c r="F24" s="16"/>
      <c r="G24" s="17" t="s">
        <v>89</v>
      </c>
      <c r="H24" s="27" t="s">
        <v>64</v>
      </c>
      <c r="I24" s="29">
        <v>2020</v>
      </c>
      <c r="J24" s="29">
        <v>2022</v>
      </c>
      <c r="K24" s="19">
        <v>35000</v>
      </c>
      <c r="L24" s="9" t="s">
        <v>20</v>
      </c>
      <c r="M24" s="20" t="s">
        <v>90</v>
      </c>
      <c r="N24" s="63" t="str" cm="1">
        <f t="array" ref="N24">MARCO(M24)</f>
        <v>encontrada</v>
      </c>
      <c r="O24" s="9" t="s">
        <v>20</v>
      </c>
      <c r="P24" s="54" t="s">
        <v>33</v>
      </c>
      <c r="Q24" s="55"/>
      <c r="R24" s="1"/>
      <c r="S24" s="1"/>
      <c r="T24" s="1"/>
      <c r="U24" s="1"/>
      <c r="V24" s="1"/>
      <c r="W24" s="1"/>
      <c r="X24" s="1"/>
      <c r="Y24" s="1"/>
      <c r="Z24" s="1"/>
    </row>
    <row r="25" spans="2:26" ht="60" x14ac:dyDescent="0.25">
      <c r="B25" s="14">
        <v>21</v>
      </c>
      <c r="C25" s="15" t="s">
        <v>24</v>
      </c>
      <c r="D25" s="15" t="s">
        <v>87</v>
      </c>
      <c r="E25" s="15" t="s">
        <v>91</v>
      </c>
      <c r="F25" s="16"/>
      <c r="G25" s="17" t="s">
        <v>92</v>
      </c>
      <c r="H25" s="27" t="s">
        <v>64</v>
      </c>
      <c r="I25" s="29">
        <v>2020</v>
      </c>
      <c r="J25" s="29">
        <v>2022</v>
      </c>
      <c r="K25" s="19">
        <v>35000</v>
      </c>
      <c r="L25" s="9" t="s">
        <v>20</v>
      </c>
      <c r="M25" s="20" t="s">
        <v>93</v>
      </c>
      <c r="N25" s="63" t="str" cm="1">
        <f t="array" ref="N25">MARCO(M25)</f>
        <v>encontrada</v>
      </c>
      <c r="O25" s="9" t="s">
        <v>20</v>
      </c>
      <c r="P25" s="54" t="s">
        <v>33</v>
      </c>
      <c r="Q25" s="55"/>
      <c r="R25" s="1"/>
      <c r="S25" s="1"/>
      <c r="T25" s="1"/>
      <c r="U25" s="1"/>
      <c r="V25" s="1"/>
      <c r="W25" s="1"/>
      <c r="X25" s="1"/>
      <c r="Y25" s="1"/>
      <c r="Z25" s="1"/>
    </row>
    <row r="26" spans="2:26" ht="60" x14ac:dyDescent="0.25">
      <c r="B26" s="14">
        <v>22</v>
      </c>
      <c r="C26" s="15" t="s">
        <v>24</v>
      </c>
      <c r="D26" s="15" t="s">
        <v>87</v>
      </c>
      <c r="E26" s="15" t="s">
        <v>94</v>
      </c>
      <c r="F26" s="16"/>
      <c r="G26" s="17" t="s">
        <v>95</v>
      </c>
      <c r="H26" s="27" t="s">
        <v>64</v>
      </c>
      <c r="I26" s="29">
        <v>2020</v>
      </c>
      <c r="J26" s="29">
        <v>2022</v>
      </c>
      <c r="K26" s="19">
        <v>35000</v>
      </c>
      <c r="L26" s="9" t="s">
        <v>20</v>
      </c>
      <c r="M26" s="20" t="s">
        <v>96</v>
      </c>
      <c r="N26" s="63" t="str" cm="1">
        <f t="array" ref="N26">MARCO(M26)</f>
        <v>encontrada</v>
      </c>
      <c r="O26" s="9" t="s">
        <v>20</v>
      </c>
      <c r="P26" s="54" t="s">
        <v>33</v>
      </c>
      <c r="Q26" s="55"/>
      <c r="R26" s="1"/>
      <c r="S26" s="1"/>
      <c r="T26" s="1"/>
      <c r="U26" s="1"/>
      <c r="V26" s="1"/>
      <c r="W26" s="1"/>
      <c r="X26" s="1"/>
      <c r="Y26" s="1"/>
      <c r="Z26" s="1"/>
    </row>
    <row r="27" spans="2:26" ht="60" x14ac:dyDescent="0.25">
      <c r="B27" s="14">
        <v>23</v>
      </c>
      <c r="C27" s="15" t="s">
        <v>24</v>
      </c>
      <c r="D27" s="15" t="s">
        <v>87</v>
      </c>
      <c r="E27" s="15" t="s">
        <v>97</v>
      </c>
      <c r="F27" s="16"/>
      <c r="G27" s="17" t="s">
        <v>98</v>
      </c>
      <c r="H27" s="27" t="s">
        <v>64</v>
      </c>
      <c r="I27" s="29">
        <v>2020</v>
      </c>
      <c r="J27" s="29">
        <v>2022</v>
      </c>
      <c r="K27" s="19">
        <v>35000</v>
      </c>
      <c r="L27" s="9" t="s">
        <v>20</v>
      </c>
      <c r="M27" s="20" t="s">
        <v>99</v>
      </c>
      <c r="N27" s="63" t="str" cm="1">
        <f t="array" ref="N27">MARCO(M27)</f>
        <v>No encontrada</v>
      </c>
      <c r="O27" s="9" t="s">
        <v>20</v>
      </c>
      <c r="P27" s="54" t="s">
        <v>100</v>
      </c>
      <c r="Q27" s="55"/>
      <c r="R27" s="1"/>
      <c r="S27" s="1"/>
      <c r="T27" s="1"/>
      <c r="U27" s="1"/>
      <c r="V27" s="1"/>
      <c r="W27" s="1"/>
      <c r="X27" s="1"/>
      <c r="Y27" s="1"/>
      <c r="Z27" s="1"/>
    </row>
    <row r="28" spans="2:26" ht="60" x14ac:dyDescent="0.25">
      <c r="B28" s="14">
        <v>24</v>
      </c>
      <c r="C28" s="15" t="s">
        <v>24</v>
      </c>
      <c r="D28" s="15" t="s">
        <v>87</v>
      </c>
      <c r="E28" s="15" t="s">
        <v>101</v>
      </c>
      <c r="F28" s="16"/>
      <c r="G28" s="17" t="s">
        <v>102</v>
      </c>
      <c r="H28" s="27" t="s">
        <v>64</v>
      </c>
      <c r="I28" s="29">
        <v>2020</v>
      </c>
      <c r="J28" s="29">
        <v>2022</v>
      </c>
      <c r="K28" s="19">
        <v>35000</v>
      </c>
      <c r="L28" s="19"/>
      <c r="M28" s="20" t="s">
        <v>103</v>
      </c>
      <c r="N28" s="63" t="str" cm="1">
        <f t="array" ref="N28">MARCO(M28)</f>
        <v>encontrada</v>
      </c>
      <c r="O28" s="20"/>
      <c r="P28" s="54" t="s">
        <v>33</v>
      </c>
      <c r="Q28" s="55"/>
      <c r="R28" s="1"/>
      <c r="S28" s="1"/>
      <c r="T28" s="1"/>
      <c r="U28" s="1"/>
      <c r="V28" s="1"/>
      <c r="W28" s="1"/>
      <c r="X28" s="1"/>
      <c r="Y28" s="1"/>
      <c r="Z28" s="1"/>
    </row>
    <row r="29" spans="2:26" ht="60" x14ac:dyDescent="0.25">
      <c r="B29" s="14">
        <v>25</v>
      </c>
      <c r="C29" s="15" t="s">
        <v>24</v>
      </c>
      <c r="D29" s="15" t="s">
        <v>87</v>
      </c>
      <c r="E29" s="15" t="s">
        <v>104</v>
      </c>
      <c r="F29" s="16"/>
      <c r="G29" s="17" t="s">
        <v>105</v>
      </c>
      <c r="H29" s="27" t="s">
        <v>64</v>
      </c>
      <c r="I29" s="29">
        <v>2020</v>
      </c>
      <c r="J29" s="29">
        <v>2022</v>
      </c>
      <c r="K29" s="19">
        <v>35000</v>
      </c>
      <c r="L29" s="19"/>
      <c r="M29" s="20" t="s">
        <v>106</v>
      </c>
      <c r="N29" s="63" t="str" cm="1">
        <f t="array" ref="N29">MARCO(M29)</f>
        <v>encontrada</v>
      </c>
      <c r="O29" s="20"/>
      <c r="P29" s="54" t="s">
        <v>33</v>
      </c>
      <c r="Q29" s="55"/>
      <c r="R29" s="1"/>
      <c r="S29" s="1"/>
      <c r="T29" s="1"/>
      <c r="U29" s="1"/>
      <c r="V29" s="1"/>
      <c r="W29" s="1"/>
      <c r="X29" s="1"/>
      <c r="Y29" s="1"/>
      <c r="Z29" s="1"/>
    </row>
    <row r="30" spans="2:26" ht="60" x14ac:dyDescent="0.25">
      <c r="B30" s="14">
        <v>26</v>
      </c>
      <c r="C30" s="15" t="s">
        <v>24</v>
      </c>
      <c r="D30" s="15" t="s">
        <v>87</v>
      </c>
      <c r="E30" s="15" t="s">
        <v>107</v>
      </c>
      <c r="F30" s="16"/>
      <c r="G30" s="17" t="s">
        <v>108</v>
      </c>
      <c r="H30" s="27" t="s">
        <v>64</v>
      </c>
      <c r="I30" s="29">
        <v>2020</v>
      </c>
      <c r="J30" s="29">
        <v>2022</v>
      </c>
      <c r="K30" s="19">
        <v>35000</v>
      </c>
      <c r="L30" s="19"/>
      <c r="M30" s="20" t="s">
        <v>109</v>
      </c>
      <c r="N30" s="63" t="str" cm="1">
        <f t="array" ref="N30">MARCO(M30)</f>
        <v>No encontrada</v>
      </c>
      <c r="O30" s="20"/>
      <c r="P30" s="54" t="s">
        <v>46</v>
      </c>
      <c r="Q30" s="55"/>
      <c r="R30" s="1"/>
      <c r="S30" s="1"/>
      <c r="T30" s="1"/>
      <c r="U30" s="1"/>
      <c r="V30" s="1"/>
      <c r="W30" s="1"/>
      <c r="X30" s="1"/>
      <c r="Y30" s="1"/>
      <c r="Z30" s="1"/>
    </row>
    <row r="31" spans="2:26" ht="60" x14ac:dyDescent="0.25">
      <c r="B31" s="14">
        <v>27</v>
      </c>
      <c r="C31" s="15" t="s">
        <v>24</v>
      </c>
      <c r="D31" s="15" t="s">
        <v>87</v>
      </c>
      <c r="E31" s="15" t="s">
        <v>110</v>
      </c>
      <c r="F31" s="16"/>
      <c r="G31" s="17" t="s">
        <v>111</v>
      </c>
      <c r="H31" s="27" t="s">
        <v>64</v>
      </c>
      <c r="I31" s="29">
        <v>2020</v>
      </c>
      <c r="J31" s="29">
        <v>2022</v>
      </c>
      <c r="K31" s="19">
        <v>35000</v>
      </c>
      <c r="L31" s="19"/>
      <c r="M31" s="20" t="s">
        <v>112</v>
      </c>
      <c r="N31" s="63" t="str" cm="1">
        <f t="array" ref="N31">MARCO(M31)</f>
        <v>encontrada</v>
      </c>
      <c r="O31" s="20"/>
      <c r="P31" s="54" t="s">
        <v>113</v>
      </c>
      <c r="Q31" s="55"/>
      <c r="R31" s="1"/>
      <c r="S31" s="1"/>
      <c r="T31" s="1"/>
      <c r="U31" s="1"/>
      <c r="V31" s="1"/>
      <c r="W31" s="1"/>
      <c r="X31" s="1"/>
      <c r="Y31" s="1"/>
      <c r="Z31" s="1"/>
    </row>
    <row r="32" spans="2:26" ht="60" x14ac:dyDescent="0.25">
      <c r="B32" s="14">
        <v>28</v>
      </c>
      <c r="C32" s="15" t="s">
        <v>24</v>
      </c>
      <c r="D32" s="15" t="s">
        <v>87</v>
      </c>
      <c r="E32" s="15" t="s">
        <v>114</v>
      </c>
      <c r="F32" s="16"/>
      <c r="G32" s="17" t="s">
        <v>115</v>
      </c>
      <c r="H32" s="27" t="s">
        <v>64</v>
      </c>
      <c r="I32" s="29">
        <v>2020</v>
      </c>
      <c r="J32" s="29">
        <v>2022</v>
      </c>
      <c r="K32" s="19">
        <v>35000</v>
      </c>
      <c r="L32" s="19"/>
      <c r="M32" s="20" t="s">
        <v>116</v>
      </c>
      <c r="N32" s="63" t="str" cm="1">
        <f t="array" ref="N32">MARCO(M32)</f>
        <v>encontrada</v>
      </c>
      <c r="O32" s="20"/>
      <c r="P32" s="54" t="s">
        <v>33</v>
      </c>
      <c r="Q32" s="55"/>
      <c r="R32" s="1"/>
      <c r="S32" s="1"/>
      <c r="T32" s="1"/>
      <c r="U32" s="1"/>
      <c r="V32" s="1"/>
      <c r="W32" s="1"/>
      <c r="X32" s="1"/>
      <c r="Y32" s="1"/>
      <c r="Z32" s="1"/>
    </row>
    <row r="33" spans="2:26" ht="60" x14ac:dyDescent="0.25">
      <c r="B33" s="14">
        <v>29</v>
      </c>
      <c r="C33" s="15" t="s">
        <v>24</v>
      </c>
      <c r="D33" s="15" t="s">
        <v>87</v>
      </c>
      <c r="E33" s="15" t="s">
        <v>117</v>
      </c>
      <c r="F33" s="16"/>
      <c r="G33" s="17" t="s">
        <v>118</v>
      </c>
      <c r="H33" s="27" t="s">
        <v>64</v>
      </c>
      <c r="I33" s="29">
        <v>2020</v>
      </c>
      <c r="J33" s="29">
        <v>2022</v>
      </c>
      <c r="K33" s="19">
        <v>35000</v>
      </c>
      <c r="L33" s="19"/>
      <c r="M33" s="20" t="s">
        <v>119</v>
      </c>
      <c r="N33" s="63" t="str" cm="1">
        <f t="array" ref="N33">MARCO(M33)</f>
        <v>encontrada</v>
      </c>
      <c r="O33" s="20"/>
      <c r="P33" s="54" t="s">
        <v>33</v>
      </c>
      <c r="Q33" s="55"/>
      <c r="R33" s="1"/>
      <c r="S33" s="1"/>
      <c r="T33" s="1"/>
      <c r="U33" s="1"/>
      <c r="V33" s="1"/>
      <c r="W33" s="1"/>
      <c r="X33" s="1"/>
      <c r="Y33" s="1"/>
      <c r="Z33" s="1"/>
    </row>
    <row r="34" spans="2:26" ht="60" x14ac:dyDescent="0.25">
      <c r="B34" s="14">
        <v>30</v>
      </c>
      <c r="C34" s="15" t="s">
        <v>24</v>
      </c>
      <c r="D34" s="15" t="s">
        <v>120</v>
      </c>
      <c r="E34" s="15" t="s">
        <v>121</v>
      </c>
      <c r="F34" s="16"/>
      <c r="G34" s="17" t="s">
        <v>122</v>
      </c>
      <c r="H34" s="27" t="s">
        <v>64</v>
      </c>
      <c r="I34" s="29">
        <v>2020</v>
      </c>
      <c r="J34" s="29">
        <v>2022</v>
      </c>
      <c r="K34" s="19">
        <v>30000</v>
      </c>
      <c r="L34" s="19"/>
      <c r="M34" s="20" t="s">
        <v>123</v>
      </c>
      <c r="N34" s="63" t="str" cm="1">
        <f t="array" ref="N34">MARCO(M34)</f>
        <v>encontrada</v>
      </c>
      <c r="O34" s="20"/>
      <c r="P34" s="54" t="s">
        <v>33</v>
      </c>
      <c r="Q34" s="55"/>
      <c r="R34" s="1"/>
      <c r="S34" s="1"/>
      <c r="T34" s="1"/>
      <c r="U34" s="1"/>
      <c r="V34" s="1"/>
      <c r="W34" s="1"/>
      <c r="X34" s="1"/>
      <c r="Y34" s="1"/>
      <c r="Z34" s="1"/>
    </row>
    <row r="35" spans="2:26" ht="60" x14ac:dyDescent="0.25">
      <c r="B35" s="14">
        <v>31</v>
      </c>
      <c r="C35" s="15" t="s">
        <v>24</v>
      </c>
      <c r="D35" s="15" t="s">
        <v>120</v>
      </c>
      <c r="E35" s="15" t="s">
        <v>124</v>
      </c>
      <c r="F35" s="16"/>
      <c r="G35" s="17" t="s">
        <v>125</v>
      </c>
      <c r="H35" s="27" t="s">
        <v>64</v>
      </c>
      <c r="I35" s="29">
        <v>2020</v>
      </c>
      <c r="J35" s="29">
        <v>2022</v>
      </c>
      <c r="K35" s="19">
        <v>30000</v>
      </c>
      <c r="L35" s="19"/>
      <c r="M35" s="20" t="s">
        <v>126</v>
      </c>
      <c r="N35" s="63" t="str" cm="1">
        <f t="array" ref="N35">MARCO(M35)</f>
        <v>encontrada</v>
      </c>
      <c r="O35" s="20"/>
      <c r="P35" s="54" t="s">
        <v>33</v>
      </c>
      <c r="Q35" s="55"/>
      <c r="R35" s="1"/>
      <c r="S35" s="1"/>
      <c r="T35" s="1"/>
      <c r="U35" s="1"/>
      <c r="V35" s="1"/>
      <c r="W35" s="1"/>
      <c r="X35" s="1"/>
      <c r="Y35" s="1"/>
      <c r="Z35" s="1"/>
    </row>
    <row r="36" spans="2:26" ht="60" x14ac:dyDescent="0.25">
      <c r="B36" s="14">
        <v>32</v>
      </c>
      <c r="C36" s="15" t="s">
        <v>24</v>
      </c>
      <c r="D36" s="15" t="s">
        <v>120</v>
      </c>
      <c r="E36" s="15" t="s">
        <v>127</v>
      </c>
      <c r="F36" s="17" t="s">
        <v>128</v>
      </c>
      <c r="G36" s="17" t="s">
        <v>129</v>
      </c>
      <c r="H36" s="27" t="s">
        <v>64</v>
      </c>
      <c r="I36" s="29">
        <v>2020</v>
      </c>
      <c r="J36" s="29">
        <v>2022</v>
      </c>
      <c r="K36" s="19">
        <v>30000</v>
      </c>
      <c r="L36" s="19"/>
      <c r="M36" s="20" t="s">
        <v>130</v>
      </c>
      <c r="N36" s="63" t="str" cm="1">
        <f t="array" ref="N36">MARCO(M36)</f>
        <v>encontrada</v>
      </c>
      <c r="O36" s="20"/>
      <c r="P36" s="54" t="s">
        <v>33</v>
      </c>
      <c r="Q36" s="55"/>
      <c r="R36" s="1"/>
      <c r="S36" s="1"/>
      <c r="T36" s="1"/>
      <c r="U36" s="1"/>
      <c r="V36" s="1"/>
      <c r="W36" s="1"/>
      <c r="X36" s="1"/>
      <c r="Y36" s="1"/>
      <c r="Z36" s="1"/>
    </row>
    <row r="37" spans="2:26" ht="60" x14ac:dyDescent="0.25">
      <c r="B37" s="14">
        <v>33</v>
      </c>
      <c r="C37" s="15" t="s">
        <v>24</v>
      </c>
      <c r="D37" s="15" t="s">
        <v>120</v>
      </c>
      <c r="E37" s="15" t="s">
        <v>131</v>
      </c>
      <c r="F37" s="17" t="s">
        <v>132</v>
      </c>
      <c r="G37" s="17" t="s">
        <v>133</v>
      </c>
      <c r="H37" s="27" t="s">
        <v>64</v>
      </c>
      <c r="I37" s="29">
        <v>2020</v>
      </c>
      <c r="J37" s="29">
        <v>2022</v>
      </c>
      <c r="K37" s="19">
        <v>30000</v>
      </c>
      <c r="L37" s="19"/>
      <c r="M37" s="20" t="s">
        <v>134</v>
      </c>
      <c r="N37" s="63" t="str" cm="1">
        <f t="array" ref="N37">MARCO(M37)</f>
        <v>encontrada</v>
      </c>
      <c r="O37" s="20"/>
      <c r="P37" s="54" t="s">
        <v>113</v>
      </c>
      <c r="Q37" s="55"/>
      <c r="R37" s="1"/>
      <c r="S37" s="1"/>
      <c r="T37" s="1"/>
      <c r="U37" s="1"/>
      <c r="V37" s="1"/>
      <c r="W37" s="1"/>
      <c r="X37" s="1"/>
      <c r="Y37" s="1"/>
      <c r="Z37" s="1"/>
    </row>
    <row r="38" spans="2:26" ht="60" x14ac:dyDescent="0.25">
      <c r="B38" s="14">
        <v>34</v>
      </c>
      <c r="C38" s="15" t="s">
        <v>24</v>
      </c>
      <c r="D38" s="15" t="s">
        <v>120</v>
      </c>
      <c r="E38" s="15" t="s">
        <v>135</v>
      </c>
      <c r="F38" s="17" t="s">
        <v>136</v>
      </c>
      <c r="G38" s="17" t="s">
        <v>137</v>
      </c>
      <c r="H38" s="27" t="s">
        <v>64</v>
      </c>
      <c r="I38" s="29">
        <v>2020</v>
      </c>
      <c r="J38" s="29">
        <v>2022</v>
      </c>
      <c r="K38" s="19">
        <v>30000</v>
      </c>
      <c r="L38" s="19"/>
      <c r="M38" s="20" t="s">
        <v>138</v>
      </c>
      <c r="N38" s="63" t="str" cm="1">
        <f t="array" ref="N38">MARCO(M38)</f>
        <v>encontrada</v>
      </c>
      <c r="O38" s="20"/>
      <c r="P38" s="54" t="s">
        <v>22</v>
      </c>
      <c r="Q38" s="55"/>
      <c r="R38" s="1"/>
      <c r="S38" s="1"/>
      <c r="T38" s="1"/>
      <c r="U38" s="1"/>
      <c r="V38" s="1"/>
      <c r="W38" s="1"/>
      <c r="X38" s="1"/>
      <c r="Y38" s="1"/>
      <c r="Z38" s="1"/>
    </row>
    <row r="39" spans="2:26" ht="60" x14ac:dyDescent="0.25">
      <c r="B39" s="14">
        <v>35</v>
      </c>
      <c r="C39" s="15" t="s">
        <v>24</v>
      </c>
      <c r="D39" s="15" t="s">
        <v>120</v>
      </c>
      <c r="E39" s="15" t="s">
        <v>139</v>
      </c>
      <c r="F39" s="16"/>
      <c r="G39" s="17" t="s">
        <v>140</v>
      </c>
      <c r="H39" s="27" t="s">
        <v>64</v>
      </c>
      <c r="I39" s="29">
        <v>2020</v>
      </c>
      <c r="J39" s="29">
        <v>2022</v>
      </c>
      <c r="K39" s="19">
        <v>30000</v>
      </c>
      <c r="L39" s="19"/>
      <c r="M39" s="20" t="s">
        <v>141</v>
      </c>
      <c r="N39" s="63" t="str" cm="1">
        <f t="array" ref="N39">MARCO(M39)</f>
        <v>encontrada</v>
      </c>
      <c r="O39" s="20"/>
      <c r="P39" s="54" t="s">
        <v>22</v>
      </c>
      <c r="Q39" s="55"/>
      <c r="R39" s="1"/>
      <c r="S39" s="1"/>
      <c r="T39" s="1"/>
      <c r="U39" s="1"/>
      <c r="V39" s="1"/>
      <c r="W39" s="1"/>
      <c r="X39" s="1"/>
      <c r="Y39" s="1"/>
      <c r="Z39" s="1"/>
    </row>
    <row r="40" spans="2:26" ht="60" x14ac:dyDescent="0.25">
      <c r="B40" s="14">
        <v>36</v>
      </c>
      <c r="C40" s="15" t="s">
        <v>24</v>
      </c>
      <c r="D40" s="15" t="s">
        <v>120</v>
      </c>
      <c r="E40" s="15" t="s">
        <v>142</v>
      </c>
      <c r="F40" s="16"/>
      <c r="G40" s="17" t="s">
        <v>143</v>
      </c>
      <c r="H40" s="27" t="s">
        <v>64</v>
      </c>
      <c r="I40" s="29">
        <v>2020</v>
      </c>
      <c r="J40" s="29">
        <v>2022</v>
      </c>
      <c r="K40" s="19">
        <v>30000</v>
      </c>
      <c r="L40" s="19"/>
      <c r="M40" s="20" t="s">
        <v>144</v>
      </c>
      <c r="N40" s="63" t="str" cm="1">
        <f t="array" ref="N40">MARCO(M40)</f>
        <v>encontrada</v>
      </c>
      <c r="O40" s="20"/>
      <c r="P40" s="54" t="s">
        <v>22</v>
      </c>
      <c r="Q40" s="55"/>
      <c r="R40" s="1"/>
      <c r="S40" s="1"/>
      <c r="T40" s="1"/>
      <c r="U40" s="1"/>
      <c r="V40" s="1"/>
      <c r="W40" s="1"/>
      <c r="X40" s="1"/>
      <c r="Y40" s="1"/>
      <c r="Z40" s="1"/>
    </row>
    <row r="41" spans="2:26" ht="60" x14ac:dyDescent="0.25">
      <c r="B41" s="14">
        <v>37</v>
      </c>
      <c r="C41" s="15" t="s">
        <v>24</v>
      </c>
      <c r="D41" s="15" t="s">
        <v>120</v>
      </c>
      <c r="E41" s="15" t="s">
        <v>145</v>
      </c>
      <c r="F41" s="16"/>
      <c r="G41" s="17" t="s">
        <v>146</v>
      </c>
      <c r="H41" s="27" t="s">
        <v>64</v>
      </c>
      <c r="I41" s="29">
        <v>2020</v>
      </c>
      <c r="J41" s="29">
        <v>2022</v>
      </c>
      <c r="K41" s="19">
        <v>30000</v>
      </c>
      <c r="L41" s="19"/>
      <c r="M41" s="20" t="s">
        <v>147</v>
      </c>
      <c r="N41" s="63" t="str" cm="1">
        <f t="array" ref="N41">MARCO(M41)</f>
        <v>encontrada</v>
      </c>
      <c r="O41" s="20"/>
      <c r="P41" s="54" t="s">
        <v>33</v>
      </c>
      <c r="Q41" s="55"/>
      <c r="R41" s="1"/>
      <c r="S41" s="1"/>
      <c r="T41" s="1"/>
      <c r="U41" s="1"/>
      <c r="V41" s="1"/>
      <c r="W41" s="1"/>
      <c r="X41" s="1"/>
      <c r="Y41" s="1"/>
      <c r="Z41" s="1"/>
    </row>
    <row r="42" spans="2:26" ht="60" x14ac:dyDescent="0.25">
      <c r="B42" s="14">
        <v>38</v>
      </c>
      <c r="C42" s="15" t="s">
        <v>24</v>
      </c>
      <c r="D42" s="15" t="s">
        <v>120</v>
      </c>
      <c r="E42" s="15" t="s">
        <v>148</v>
      </c>
      <c r="F42" s="17" t="s">
        <v>149</v>
      </c>
      <c r="G42" s="17" t="s">
        <v>150</v>
      </c>
      <c r="H42" s="27" t="s">
        <v>64</v>
      </c>
      <c r="I42" s="29">
        <v>2020</v>
      </c>
      <c r="J42" s="29">
        <v>2022</v>
      </c>
      <c r="K42" s="19">
        <v>30000</v>
      </c>
      <c r="L42" s="19"/>
      <c r="M42" s="20" t="s">
        <v>151</v>
      </c>
      <c r="N42" s="63" t="str" cm="1">
        <f t="array" ref="N42">MARCO(M42)</f>
        <v>encontrada</v>
      </c>
      <c r="O42" s="20"/>
      <c r="P42" s="54" t="s">
        <v>22</v>
      </c>
      <c r="Q42" s="55"/>
      <c r="R42" s="1"/>
      <c r="S42" s="1"/>
      <c r="T42" s="1"/>
      <c r="U42" s="1"/>
      <c r="V42" s="1"/>
      <c r="W42" s="1"/>
      <c r="X42" s="1"/>
      <c r="Y42" s="1"/>
      <c r="Z42" s="1"/>
    </row>
    <row r="43" spans="2:26" ht="60" x14ac:dyDescent="0.25">
      <c r="B43" s="14">
        <v>39</v>
      </c>
      <c r="C43" s="15" t="s">
        <v>24</v>
      </c>
      <c r="D43" s="15" t="s">
        <v>120</v>
      </c>
      <c r="E43" s="15" t="s">
        <v>152</v>
      </c>
      <c r="F43" s="16"/>
      <c r="G43" s="17" t="s">
        <v>153</v>
      </c>
      <c r="H43" s="27" t="s">
        <v>64</v>
      </c>
      <c r="I43" s="29">
        <v>2020</v>
      </c>
      <c r="J43" s="29">
        <v>2022</v>
      </c>
      <c r="K43" s="19">
        <v>30000</v>
      </c>
      <c r="L43" s="19"/>
      <c r="M43" s="20" t="s">
        <v>154</v>
      </c>
      <c r="N43" s="63" t="str" cm="1">
        <f t="array" ref="N43">MARCO(M43)</f>
        <v>encontrada</v>
      </c>
      <c r="O43" s="20"/>
      <c r="P43" s="54" t="s">
        <v>33</v>
      </c>
      <c r="Q43" s="55"/>
      <c r="R43" s="1"/>
      <c r="S43" s="1"/>
      <c r="T43" s="1"/>
      <c r="U43" s="1"/>
      <c r="V43" s="1"/>
      <c r="W43" s="1"/>
      <c r="X43" s="1"/>
      <c r="Y43" s="1"/>
      <c r="Z43" s="1"/>
    </row>
    <row r="44" spans="2:26" ht="60" x14ac:dyDescent="0.25">
      <c r="B44" s="14">
        <v>40</v>
      </c>
      <c r="C44" s="15" t="s">
        <v>24</v>
      </c>
      <c r="D44" s="15" t="s">
        <v>120</v>
      </c>
      <c r="E44" s="15" t="s">
        <v>155</v>
      </c>
      <c r="F44" s="16"/>
      <c r="G44" s="17" t="s">
        <v>156</v>
      </c>
      <c r="H44" s="27" t="s">
        <v>64</v>
      </c>
      <c r="I44" s="29">
        <v>2020</v>
      </c>
      <c r="J44" s="29">
        <v>2022</v>
      </c>
      <c r="K44" s="19">
        <v>30000</v>
      </c>
      <c r="L44" s="19"/>
      <c r="M44" s="20" t="s">
        <v>157</v>
      </c>
      <c r="N44" s="63" t="str" cm="1">
        <f t="array" ref="N44">MARCO(M44)</f>
        <v>No encontrada</v>
      </c>
      <c r="O44" s="20"/>
      <c r="P44" s="54" t="s">
        <v>46</v>
      </c>
      <c r="Q44" s="55"/>
      <c r="R44" s="1"/>
      <c r="S44" s="1"/>
      <c r="T44" s="1"/>
      <c r="U44" s="1"/>
      <c r="V44" s="1"/>
      <c r="W44" s="1"/>
      <c r="X44" s="1"/>
      <c r="Y44" s="1"/>
      <c r="Z44" s="1"/>
    </row>
    <row r="45" spans="2:26" ht="60" x14ac:dyDescent="0.25">
      <c r="B45" s="14">
        <v>41</v>
      </c>
      <c r="C45" s="15" t="s">
        <v>24</v>
      </c>
      <c r="D45" s="15" t="s">
        <v>120</v>
      </c>
      <c r="E45" s="15" t="s">
        <v>158</v>
      </c>
      <c r="F45" s="16"/>
      <c r="G45" s="27" t="s">
        <v>159</v>
      </c>
      <c r="H45" s="27" t="s">
        <v>64</v>
      </c>
      <c r="I45" s="29">
        <v>2020</v>
      </c>
      <c r="J45" s="29">
        <v>2022</v>
      </c>
      <c r="K45" s="19">
        <v>30000</v>
      </c>
      <c r="L45" s="19"/>
      <c r="M45" s="20" t="s">
        <v>160</v>
      </c>
      <c r="N45" s="63" t="str" cm="1">
        <f t="array" ref="N45">MARCO(M45)</f>
        <v>encontrada</v>
      </c>
      <c r="O45" s="20"/>
      <c r="P45" s="54" t="s">
        <v>161</v>
      </c>
      <c r="Q45" s="55"/>
      <c r="R45" s="1"/>
      <c r="S45" s="1"/>
      <c r="T45" s="1"/>
      <c r="U45" s="1"/>
      <c r="V45" s="1"/>
      <c r="W45" s="1"/>
      <c r="X45" s="1"/>
      <c r="Y45" s="1"/>
      <c r="Z45" s="1"/>
    </row>
    <row r="46" spans="2:26" ht="60" x14ac:dyDescent="0.25">
      <c r="B46" s="14">
        <v>42</v>
      </c>
      <c r="C46" s="15" t="s">
        <v>24</v>
      </c>
      <c r="D46" s="15" t="s">
        <v>120</v>
      </c>
      <c r="E46" s="15" t="s">
        <v>162</v>
      </c>
      <c r="F46" s="16"/>
      <c r="G46" s="17" t="s">
        <v>163</v>
      </c>
      <c r="H46" s="27" t="s">
        <v>64</v>
      </c>
      <c r="I46" s="29">
        <v>2020</v>
      </c>
      <c r="J46" s="29">
        <v>2022</v>
      </c>
      <c r="K46" s="19">
        <v>30000</v>
      </c>
      <c r="L46" s="19"/>
      <c r="M46" s="20" t="s">
        <v>164</v>
      </c>
      <c r="N46" s="63" t="str" cm="1">
        <f t="array" ref="N46">MARCO(M46)</f>
        <v>encontrada</v>
      </c>
      <c r="O46" s="20"/>
      <c r="P46" s="54" t="s">
        <v>113</v>
      </c>
      <c r="Q46" s="55"/>
      <c r="R46" s="1"/>
      <c r="S46" s="1"/>
      <c r="T46" s="1"/>
      <c r="U46" s="1"/>
      <c r="V46" s="1"/>
      <c r="W46" s="1"/>
      <c r="X46" s="1"/>
      <c r="Y46" s="1"/>
      <c r="Z46" s="1"/>
    </row>
    <row r="47" spans="2:26" ht="60" x14ac:dyDescent="0.25">
      <c r="B47" s="14">
        <v>43</v>
      </c>
      <c r="C47" s="15" t="s">
        <v>24</v>
      </c>
      <c r="D47" s="15" t="s">
        <v>120</v>
      </c>
      <c r="E47" s="15" t="s">
        <v>165</v>
      </c>
      <c r="F47" s="16"/>
      <c r="G47" s="17" t="s">
        <v>166</v>
      </c>
      <c r="H47" s="27" t="s">
        <v>64</v>
      </c>
      <c r="I47" s="29">
        <v>2020</v>
      </c>
      <c r="J47" s="29">
        <v>2022</v>
      </c>
      <c r="K47" s="19">
        <v>30000</v>
      </c>
      <c r="L47" s="19"/>
      <c r="M47" s="20" t="s">
        <v>167</v>
      </c>
      <c r="N47" s="63" t="str" cm="1">
        <f t="array" ref="N47">MARCO(M47)</f>
        <v>encontrada</v>
      </c>
      <c r="O47" s="20"/>
      <c r="P47" s="54" t="s">
        <v>33</v>
      </c>
      <c r="Q47" s="55"/>
      <c r="R47" s="1"/>
      <c r="S47" s="1"/>
      <c r="T47" s="1"/>
      <c r="U47" s="1"/>
      <c r="V47" s="1"/>
      <c r="W47" s="1"/>
      <c r="X47" s="1"/>
      <c r="Y47" s="1"/>
      <c r="Z47" s="1"/>
    </row>
    <row r="48" spans="2:26" ht="60" x14ac:dyDescent="0.25">
      <c r="B48" s="14">
        <v>44</v>
      </c>
      <c r="C48" s="15" t="s">
        <v>24</v>
      </c>
      <c r="D48" s="15" t="s">
        <v>120</v>
      </c>
      <c r="E48" s="15" t="s">
        <v>168</v>
      </c>
      <c r="F48" s="17" t="s">
        <v>169</v>
      </c>
      <c r="G48" s="17" t="s">
        <v>170</v>
      </c>
      <c r="H48" s="27" t="s">
        <v>64</v>
      </c>
      <c r="I48" s="29">
        <v>2020</v>
      </c>
      <c r="J48" s="29">
        <v>2022</v>
      </c>
      <c r="K48" s="19">
        <v>30000</v>
      </c>
      <c r="L48" s="19"/>
      <c r="M48" s="20" t="s">
        <v>171</v>
      </c>
      <c r="N48" s="63" t="str" cm="1">
        <f t="array" ref="N48">MARCO(M48)</f>
        <v>No encontrada</v>
      </c>
      <c r="O48" s="20"/>
      <c r="P48" s="54" t="s">
        <v>100</v>
      </c>
      <c r="Q48" s="55"/>
      <c r="R48" s="1"/>
      <c r="S48" s="1"/>
      <c r="T48" s="1"/>
      <c r="U48" s="1"/>
      <c r="V48" s="1"/>
      <c r="W48" s="1"/>
      <c r="X48" s="1"/>
      <c r="Y48" s="1"/>
      <c r="Z48" s="1"/>
    </row>
    <row r="49" spans="2:26" ht="60" x14ac:dyDescent="0.25">
      <c r="B49" s="14">
        <v>45</v>
      </c>
      <c r="C49" s="15" t="s">
        <v>24</v>
      </c>
      <c r="D49" s="15" t="s">
        <v>120</v>
      </c>
      <c r="E49" s="15" t="s">
        <v>172</v>
      </c>
      <c r="F49" s="16"/>
      <c r="G49" s="17" t="s">
        <v>173</v>
      </c>
      <c r="H49" s="27" t="s">
        <v>64</v>
      </c>
      <c r="I49" s="29">
        <v>2020</v>
      </c>
      <c r="J49" s="29">
        <v>2022</v>
      </c>
      <c r="K49" s="19">
        <v>30000</v>
      </c>
      <c r="L49" s="19"/>
      <c r="M49" s="20" t="s">
        <v>174</v>
      </c>
      <c r="N49" s="63" t="str" cm="1">
        <f t="array" ref="N49">MARCO(M49)</f>
        <v>No encontrada</v>
      </c>
      <c r="O49" s="20"/>
      <c r="P49" s="54" t="s">
        <v>100</v>
      </c>
      <c r="Q49" s="55"/>
      <c r="R49" s="1"/>
      <c r="S49" s="1"/>
      <c r="T49" s="1"/>
      <c r="U49" s="1"/>
      <c r="V49" s="1"/>
      <c r="W49" s="1"/>
      <c r="X49" s="1"/>
      <c r="Y49" s="1"/>
      <c r="Z49" s="1"/>
    </row>
    <row r="50" spans="2:26" ht="60" x14ac:dyDescent="0.25">
      <c r="B50" s="14">
        <v>46</v>
      </c>
      <c r="C50" s="15" t="s">
        <v>24</v>
      </c>
      <c r="D50" s="15" t="s">
        <v>175</v>
      </c>
      <c r="E50" s="15" t="s">
        <v>176</v>
      </c>
      <c r="F50" s="17" t="s">
        <v>177</v>
      </c>
      <c r="G50" s="17" t="s">
        <v>178</v>
      </c>
      <c r="H50" s="27" t="s">
        <v>64</v>
      </c>
      <c r="I50" s="29">
        <v>2020</v>
      </c>
      <c r="J50" s="29">
        <v>2022</v>
      </c>
      <c r="K50" s="19">
        <v>25000</v>
      </c>
      <c r="L50" s="19"/>
      <c r="M50" s="20" t="s">
        <v>179</v>
      </c>
      <c r="N50" s="63" t="str" cm="1">
        <f t="array" ref="N50">MARCO(M50)</f>
        <v>encontrada</v>
      </c>
      <c r="O50" s="20"/>
      <c r="P50" s="54" t="s">
        <v>33</v>
      </c>
      <c r="Q50" s="55"/>
      <c r="R50" s="1"/>
      <c r="S50" s="1"/>
      <c r="T50" s="1"/>
      <c r="U50" s="1"/>
      <c r="V50" s="1"/>
      <c r="W50" s="1"/>
      <c r="X50" s="1"/>
      <c r="Y50" s="1"/>
      <c r="Z50" s="1"/>
    </row>
    <row r="51" spans="2:26" ht="60" x14ac:dyDescent="0.25">
      <c r="B51" s="14">
        <v>47</v>
      </c>
      <c r="C51" s="15" t="s">
        <v>24</v>
      </c>
      <c r="D51" s="15" t="s">
        <v>175</v>
      </c>
      <c r="E51" s="15" t="s">
        <v>180</v>
      </c>
      <c r="F51" s="16"/>
      <c r="G51" s="17" t="s">
        <v>181</v>
      </c>
      <c r="H51" s="27" t="s">
        <v>64</v>
      </c>
      <c r="I51" s="29">
        <v>2020</v>
      </c>
      <c r="J51" s="29">
        <v>2022</v>
      </c>
      <c r="K51" s="19">
        <v>25000</v>
      </c>
      <c r="L51" s="19"/>
      <c r="M51" s="20" t="s">
        <v>182</v>
      </c>
      <c r="N51" s="63" t="str" cm="1">
        <f t="array" ref="N51">MARCO(M51)</f>
        <v>encontrada</v>
      </c>
      <c r="O51" s="20"/>
      <c r="P51" s="54" t="s">
        <v>161</v>
      </c>
      <c r="Q51" s="55"/>
      <c r="R51" s="1"/>
      <c r="S51" s="1"/>
      <c r="T51" s="1"/>
      <c r="U51" s="1"/>
      <c r="V51" s="1"/>
      <c r="W51" s="1"/>
      <c r="X51" s="1"/>
      <c r="Y51" s="1"/>
      <c r="Z51" s="1"/>
    </row>
    <row r="52" spans="2:26" ht="60" x14ac:dyDescent="0.25">
      <c r="B52" s="14">
        <v>48</v>
      </c>
      <c r="C52" s="15" t="s">
        <v>24</v>
      </c>
      <c r="D52" s="15" t="s">
        <v>175</v>
      </c>
      <c r="E52" s="15" t="s">
        <v>183</v>
      </c>
      <c r="F52" s="16"/>
      <c r="G52" s="17" t="s">
        <v>184</v>
      </c>
      <c r="H52" s="27" t="s">
        <v>64</v>
      </c>
      <c r="I52" s="29">
        <v>2020</v>
      </c>
      <c r="J52" s="29">
        <v>2022</v>
      </c>
      <c r="K52" s="19">
        <v>25000</v>
      </c>
      <c r="L52" s="19"/>
      <c r="M52" s="20" t="s">
        <v>185</v>
      </c>
      <c r="N52" s="63" t="str" cm="1">
        <f t="array" ref="N52">MARCO(M52)</f>
        <v>encontrada</v>
      </c>
      <c r="O52" s="20"/>
      <c r="P52" s="54" t="s">
        <v>33</v>
      </c>
      <c r="Q52" s="55"/>
      <c r="R52" s="1"/>
      <c r="S52" s="1"/>
      <c r="T52" s="1"/>
      <c r="U52" s="1"/>
      <c r="V52" s="1"/>
      <c r="W52" s="1"/>
      <c r="X52" s="1"/>
      <c r="Y52" s="1"/>
      <c r="Z52" s="1"/>
    </row>
    <row r="53" spans="2:26" ht="60" x14ac:dyDescent="0.25">
      <c r="B53" s="14">
        <v>49</v>
      </c>
      <c r="C53" s="15" t="s">
        <v>24</v>
      </c>
      <c r="D53" s="15" t="s">
        <v>175</v>
      </c>
      <c r="E53" s="15" t="s">
        <v>186</v>
      </c>
      <c r="F53" s="16"/>
      <c r="G53" s="17" t="s">
        <v>187</v>
      </c>
      <c r="H53" s="27" t="s">
        <v>64</v>
      </c>
      <c r="I53" s="29">
        <v>2020</v>
      </c>
      <c r="J53" s="29">
        <v>2022</v>
      </c>
      <c r="K53" s="19">
        <v>25000</v>
      </c>
      <c r="L53" s="19"/>
      <c r="M53" s="20" t="s">
        <v>188</v>
      </c>
      <c r="N53" s="63" t="str" cm="1">
        <f t="array" ref="N53">MARCO(M53)</f>
        <v>No encontrada</v>
      </c>
      <c r="O53" s="20"/>
      <c r="P53" s="54" t="s">
        <v>33</v>
      </c>
      <c r="Q53" s="55"/>
      <c r="R53" s="1"/>
      <c r="S53" s="1"/>
      <c r="T53" s="1"/>
      <c r="U53" s="1"/>
      <c r="V53" s="1"/>
      <c r="W53" s="1"/>
      <c r="X53" s="1"/>
      <c r="Y53" s="1"/>
      <c r="Z53" s="1"/>
    </row>
    <row r="54" spans="2:26" ht="60" x14ac:dyDescent="0.25">
      <c r="B54" s="14">
        <v>50</v>
      </c>
      <c r="C54" s="15" t="s">
        <v>24</v>
      </c>
      <c r="D54" s="15" t="s">
        <v>175</v>
      </c>
      <c r="E54" s="15" t="s">
        <v>189</v>
      </c>
      <c r="F54" s="17" t="s">
        <v>190</v>
      </c>
      <c r="G54" s="17" t="s">
        <v>191</v>
      </c>
      <c r="H54" s="27" t="s">
        <v>64</v>
      </c>
      <c r="I54" s="29">
        <v>2020</v>
      </c>
      <c r="J54" s="29">
        <v>2022</v>
      </c>
      <c r="K54" s="19">
        <v>25000</v>
      </c>
      <c r="L54" s="19"/>
      <c r="M54" s="20" t="s">
        <v>192</v>
      </c>
      <c r="N54" s="63" t="str" cm="1">
        <f t="array" ref="N54">MARCO(M54)</f>
        <v>encontrada</v>
      </c>
      <c r="O54" s="20"/>
      <c r="P54" s="54" t="s">
        <v>22</v>
      </c>
      <c r="Q54" s="55"/>
      <c r="R54" s="1"/>
      <c r="S54" s="1"/>
      <c r="T54" s="1"/>
      <c r="U54" s="1"/>
      <c r="V54" s="1"/>
      <c r="W54" s="1"/>
      <c r="X54" s="1"/>
      <c r="Y54" s="1"/>
      <c r="Z54" s="1"/>
    </row>
    <row r="55" spans="2:26" ht="60" x14ac:dyDescent="0.25">
      <c r="B55" s="14">
        <v>51</v>
      </c>
      <c r="C55" s="15" t="s">
        <v>24</v>
      </c>
      <c r="D55" s="15" t="s">
        <v>175</v>
      </c>
      <c r="E55" s="15" t="s">
        <v>193</v>
      </c>
      <c r="F55" s="16"/>
      <c r="G55" s="17" t="s">
        <v>194</v>
      </c>
      <c r="H55" s="27" t="s">
        <v>64</v>
      </c>
      <c r="I55" s="29">
        <v>2020</v>
      </c>
      <c r="J55" s="29">
        <v>2022</v>
      </c>
      <c r="K55" s="19">
        <v>25000</v>
      </c>
      <c r="L55" s="19"/>
      <c r="M55" s="20" t="s">
        <v>195</v>
      </c>
      <c r="N55" s="63" t="str" cm="1">
        <f t="array" ref="N55">MARCO(M55)</f>
        <v>encontrada</v>
      </c>
      <c r="O55" s="20"/>
      <c r="P55" s="54" t="s">
        <v>33</v>
      </c>
      <c r="Q55" s="55"/>
      <c r="R55" s="1"/>
      <c r="S55" s="1"/>
      <c r="T55" s="1"/>
      <c r="U55" s="1"/>
      <c r="V55" s="1"/>
      <c r="W55" s="1"/>
      <c r="X55" s="1"/>
      <c r="Y55" s="1"/>
      <c r="Z55" s="1"/>
    </row>
    <row r="56" spans="2:26" ht="60" x14ac:dyDescent="0.25">
      <c r="B56" s="14">
        <v>52</v>
      </c>
      <c r="C56" s="15" t="s">
        <v>24</v>
      </c>
      <c r="D56" s="15" t="s">
        <v>175</v>
      </c>
      <c r="E56" s="15" t="s">
        <v>196</v>
      </c>
      <c r="F56" s="17" t="s">
        <v>197</v>
      </c>
      <c r="G56" s="17" t="s">
        <v>198</v>
      </c>
      <c r="H56" s="27" t="s">
        <v>64</v>
      </c>
      <c r="I56" s="29">
        <v>2020</v>
      </c>
      <c r="J56" s="29">
        <v>2022</v>
      </c>
      <c r="K56" s="19">
        <v>25000</v>
      </c>
      <c r="L56" s="19"/>
      <c r="M56" s="20" t="s">
        <v>199</v>
      </c>
      <c r="N56" s="63" t="str" cm="1">
        <f t="array" ref="N56">MARCO(M56)</f>
        <v>No encontrada</v>
      </c>
      <c r="O56" s="20"/>
      <c r="P56" s="54" t="s">
        <v>46</v>
      </c>
      <c r="Q56" s="55"/>
      <c r="R56" s="1"/>
      <c r="S56" s="1"/>
      <c r="T56" s="1"/>
      <c r="U56" s="1"/>
      <c r="V56" s="1"/>
      <c r="W56" s="1"/>
      <c r="X56" s="1"/>
      <c r="Y56" s="1"/>
      <c r="Z56" s="1"/>
    </row>
    <row r="57" spans="2:26" ht="60" x14ac:dyDescent="0.25">
      <c r="B57" s="14">
        <v>53</v>
      </c>
      <c r="C57" s="15" t="s">
        <v>24</v>
      </c>
      <c r="D57" s="15" t="s">
        <v>200</v>
      </c>
      <c r="E57" s="15" t="s">
        <v>201</v>
      </c>
      <c r="F57" s="16"/>
      <c r="G57" s="17" t="s">
        <v>202</v>
      </c>
      <c r="H57" s="27" t="s">
        <v>64</v>
      </c>
      <c r="I57" s="29">
        <v>2020</v>
      </c>
      <c r="J57" s="29">
        <v>2022</v>
      </c>
      <c r="K57" s="19">
        <v>25000</v>
      </c>
      <c r="L57" s="19"/>
      <c r="M57" s="20" t="s">
        <v>203</v>
      </c>
      <c r="N57" s="63" t="str" cm="1">
        <f t="array" ref="N57">MARCO(M57)</f>
        <v>No encontrada</v>
      </c>
      <c r="O57" s="20"/>
      <c r="P57" s="54" t="s">
        <v>46</v>
      </c>
      <c r="Q57" s="55"/>
      <c r="R57" s="1"/>
      <c r="S57" s="1"/>
      <c r="T57" s="1"/>
      <c r="U57" s="1"/>
      <c r="V57" s="1"/>
      <c r="W57" s="1"/>
      <c r="X57" s="1"/>
      <c r="Y57" s="1"/>
      <c r="Z57" s="1"/>
    </row>
    <row r="58" spans="2:26" ht="60" x14ac:dyDescent="0.25">
      <c r="B58" s="14">
        <v>54</v>
      </c>
      <c r="C58" s="15" t="s">
        <v>24</v>
      </c>
      <c r="D58" s="15" t="s">
        <v>200</v>
      </c>
      <c r="E58" s="15" t="s">
        <v>204</v>
      </c>
      <c r="F58" s="16"/>
      <c r="G58" s="17" t="s">
        <v>205</v>
      </c>
      <c r="H58" s="27" t="s">
        <v>64</v>
      </c>
      <c r="I58" s="29">
        <v>2020</v>
      </c>
      <c r="J58" s="29">
        <v>2022</v>
      </c>
      <c r="K58" s="19">
        <v>25000</v>
      </c>
      <c r="L58" s="19"/>
      <c r="M58" s="20" t="s">
        <v>206</v>
      </c>
      <c r="N58" s="63" t="str" cm="1">
        <f t="array" ref="N58">MARCO(M58)</f>
        <v>encontrada</v>
      </c>
      <c r="O58" s="20"/>
      <c r="P58" s="54" t="s">
        <v>113</v>
      </c>
      <c r="Q58" s="55"/>
      <c r="R58" s="1"/>
      <c r="S58" s="1"/>
      <c r="T58" s="1"/>
      <c r="U58" s="1"/>
      <c r="V58" s="1"/>
      <c r="W58" s="1"/>
      <c r="X58" s="1"/>
      <c r="Y58" s="1"/>
      <c r="Z58" s="1"/>
    </row>
    <row r="59" spans="2:26" ht="60" x14ac:dyDescent="0.25">
      <c r="B59" s="14">
        <v>55</v>
      </c>
      <c r="C59" s="15" t="s">
        <v>24</v>
      </c>
      <c r="D59" s="15" t="s">
        <v>200</v>
      </c>
      <c r="E59" s="15" t="s">
        <v>207</v>
      </c>
      <c r="F59" s="16"/>
      <c r="G59" s="17" t="s">
        <v>208</v>
      </c>
      <c r="H59" s="27" t="s">
        <v>64</v>
      </c>
      <c r="I59" s="29">
        <v>2020</v>
      </c>
      <c r="J59" s="29">
        <v>2022</v>
      </c>
      <c r="K59" s="19">
        <v>25000</v>
      </c>
      <c r="L59" s="19"/>
      <c r="M59" s="20" t="s">
        <v>209</v>
      </c>
      <c r="N59" s="63" t="str" cm="1">
        <f t="array" ref="N59">MARCO(M59)</f>
        <v>encontrada</v>
      </c>
      <c r="O59" s="20"/>
      <c r="P59" s="54" t="s">
        <v>113</v>
      </c>
      <c r="Q59" s="55"/>
      <c r="R59" s="1"/>
      <c r="S59" s="1"/>
      <c r="T59" s="1"/>
      <c r="U59" s="1"/>
      <c r="V59" s="1"/>
      <c r="W59" s="1"/>
      <c r="X59" s="1"/>
      <c r="Y59" s="1"/>
      <c r="Z59" s="1"/>
    </row>
    <row r="60" spans="2:26" ht="60" x14ac:dyDescent="0.25">
      <c r="B60" s="14">
        <v>56</v>
      </c>
      <c r="C60" s="15" t="s">
        <v>24</v>
      </c>
      <c r="D60" s="15" t="s">
        <v>210</v>
      </c>
      <c r="E60" s="15" t="s">
        <v>211</v>
      </c>
      <c r="F60" s="16"/>
      <c r="G60" s="17" t="s">
        <v>212</v>
      </c>
      <c r="H60" s="27" t="s">
        <v>64</v>
      </c>
      <c r="I60" s="29">
        <v>2020</v>
      </c>
      <c r="J60" s="29">
        <v>2022</v>
      </c>
      <c r="K60" s="19">
        <v>30000</v>
      </c>
      <c r="L60" s="19"/>
      <c r="M60" s="20" t="s">
        <v>213</v>
      </c>
      <c r="N60" s="63" t="str" cm="1">
        <f t="array" ref="N60">MARCO(M60)</f>
        <v>No encontrada</v>
      </c>
      <c r="O60" s="20"/>
      <c r="P60" s="54" t="s">
        <v>161</v>
      </c>
      <c r="Q60" s="55"/>
      <c r="R60" s="1"/>
      <c r="S60" s="1"/>
      <c r="T60" s="1"/>
      <c r="U60" s="1"/>
      <c r="V60" s="1"/>
      <c r="W60" s="1"/>
      <c r="X60" s="1"/>
      <c r="Y60" s="1"/>
      <c r="Z60" s="1"/>
    </row>
    <row r="61" spans="2:26" ht="60" x14ac:dyDescent="0.25">
      <c r="B61" s="14">
        <v>57</v>
      </c>
      <c r="C61" s="15" t="s">
        <v>24</v>
      </c>
      <c r="D61" s="15" t="s">
        <v>210</v>
      </c>
      <c r="E61" s="15" t="s">
        <v>214</v>
      </c>
      <c r="F61" s="26"/>
      <c r="G61" s="17" t="s">
        <v>215</v>
      </c>
      <c r="H61" s="27" t="s">
        <v>64</v>
      </c>
      <c r="I61" s="29">
        <v>2020</v>
      </c>
      <c r="J61" s="29">
        <v>2022</v>
      </c>
      <c r="K61" s="19">
        <v>30000</v>
      </c>
      <c r="L61" s="19"/>
      <c r="M61" s="20" t="s">
        <v>216</v>
      </c>
      <c r="N61" s="63" t="str" cm="1">
        <f t="array" ref="N61">MARCO(M61)</f>
        <v>No encontrada</v>
      </c>
      <c r="O61" s="20"/>
      <c r="P61" s="54" t="s">
        <v>46</v>
      </c>
      <c r="Q61" s="55"/>
      <c r="R61" s="1"/>
      <c r="S61" s="1"/>
      <c r="T61" s="1"/>
      <c r="U61" s="1"/>
      <c r="V61" s="1"/>
      <c r="W61" s="1"/>
      <c r="X61" s="1"/>
      <c r="Y61" s="1"/>
      <c r="Z61" s="1"/>
    </row>
    <row r="62" spans="2:26" ht="60" x14ac:dyDescent="0.25">
      <c r="B62" s="14">
        <v>58</v>
      </c>
      <c r="C62" s="15" t="s">
        <v>24</v>
      </c>
      <c r="D62" s="15" t="s">
        <v>210</v>
      </c>
      <c r="E62" s="15" t="s">
        <v>217</v>
      </c>
      <c r="F62" s="16"/>
      <c r="G62" s="17" t="s">
        <v>218</v>
      </c>
      <c r="H62" s="27" t="s">
        <v>64</v>
      </c>
      <c r="I62" s="29">
        <v>2020</v>
      </c>
      <c r="J62" s="29">
        <v>2022</v>
      </c>
      <c r="K62" s="19">
        <v>30000</v>
      </c>
      <c r="L62" s="19"/>
      <c r="M62" s="20" t="s">
        <v>219</v>
      </c>
      <c r="N62" s="63" t="str" cm="1">
        <f t="array" ref="N62">MARCO(M62)</f>
        <v>No encontrada</v>
      </c>
      <c r="O62" s="20"/>
      <c r="P62" s="54" t="s">
        <v>100</v>
      </c>
      <c r="Q62" s="55"/>
      <c r="R62" s="1"/>
      <c r="S62" s="1"/>
      <c r="T62" s="1"/>
      <c r="U62" s="1"/>
      <c r="V62" s="1"/>
      <c r="W62" s="1"/>
      <c r="X62" s="1"/>
      <c r="Y62" s="1"/>
      <c r="Z62" s="1"/>
    </row>
    <row r="63" spans="2:26" ht="60" x14ac:dyDescent="0.25">
      <c r="B63" s="14">
        <v>59</v>
      </c>
      <c r="C63" s="15" t="s">
        <v>24</v>
      </c>
      <c r="D63" s="15" t="s">
        <v>210</v>
      </c>
      <c r="E63" s="15" t="s">
        <v>220</v>
      </c>
      <c r="F63" s="16"/>
      <c r="G63" s="17" t="s">
        <v>221</v>
      </c>
      <c r="H63" s="27" t="s">
        <v>64</v>
      </c>
      <c r="I63" s="29">
        <v>2020</v>
      </c>
      <c r="J63" s="29">
        <v>2022</v>
      </c>
      <c r="K63" s="19">
        <v>30000</v>
      </c>
      <c r="L63" s="19"/>
      <c r="M63" s="20" t="s">
        <v>222</v>
      </c>
      <c r="N63" s="63" t="str" cm="1">
        <f t="array" ref="N63">MARCO(M63)</f>
        <v>encontrada</v>
      </c>
      <c r="O63" s="20"/>
      <c r="P63" s="54" t="s">
        <v>33</v>
      </c>
      <c r="Q63" s="55"/>
      <c r="R63" s="1"/>
      <c r="S63" s="1"/>
      <c r="T63" s="1"/>
      <c r="U63" s="1"/>
      <c r="V63" s="1"/>
      <c r="W63" s="1"/>
      <c r="X63" s="1"/>
      <c r="Y63" s="1"/>
      <c r="Z63" s="1"/>
    </row>
    <row r="64" spans="2:26" ht="60" x14ac:dyDescent="0.25">
      <c r="B64" s="14">
        <v>60</v>
      </c>
      <c r="C64" s="15" t="s">
        <v>24</v>
      </c>
      <c r="D64" s="15" t="s">
        <v>210</v>
      </c>
      <c r="E64" s="15" t="s">
        <v>223</v>
      </c>
      <c r="F64" s="16"/>
      <c r="G64" s="17" t="s">
        <v>224</v>
      </c>
      <c r="H64" s="27" t="s">
        <v>64</v>
      </c>
      <c r="I64" s="29">
        <v>2020</v>
      </c>
      <c r="J64" s="29">
        <v>2022</v>
      </c>
      <c r="K64" s="19">
        <v>30000</v>
      </c>
      <c r="L64" s="19"/>
      <c r="M64" s="20" t="s">
        <v>225</v>
      </c>
      <c r="N64" s="63" t="str" cm="1">
        <f t="array" ref="N64">MARCO(M64)</f>
        <v>encontrada</v>
      </c>
      <c r="O64" s="20"/>
      <c r="P64" s="54" t="s">
        <v>33</v>
      </c>
      <c r="Q64" s="55"/>
      <c r="R64" s="1"/>
      <c r="S64" s="1"/>
      <c r="T64" s="1"/>
      <c r="U64" s="1"/>
      <c r="V64" s="1"/>
      <c r="W64" s="1"/>
      <c r="X64" s="1"/>
      <c r="Y64" s="1"/>
      <c r="Z64" s="1"/>
    </row>
    <row r="65" spans="2:26" ht="60" x14ac:dyDescent="0.25">
      <c r="B65" s="14">
        <v>61</v>
      </c>
      <c r="C65" s="15" t="s">
        <v>24</v>
      </c>
      <c r="D65" s="15" t="s">
        <v>210</v>
      </c>
      <c r="E65" s="15" t="s">
        <v>226</v>
      </c>
      <c r="F65" s="16"/>
      <c r="G65" s="17" t="s">
        <v>227</v>
      </c>
      <c r="H65" s="27" t="s">
        <v>64</v>
      </c>
      <c r="I65" s="29">
        <v>2020</v>
      </c>
      <c r="J65" s="29">
        <v>2022</v>
      </c>
      <c r="K65" s="19">
        <v>30000</v>
      </c>
      <c r="L65" s="19"/>
      <c r="M65" s="20" t="s">
        <v>228</v>
      </c>
      <c r="N65" s="63" t="str" cm="1">
        <f t="array" ref="N65">MARCO(M65)</f>
        <v>No encontrada</v>
      </c>
      <c r="O65" s="20"/>
      <c r="P65" s="54" t="s">
        <v>46</v>
      </c>
      <c r="Q65" s="55"/>
      <c r="R65" s="1"/>
      <c r="S65" s="1"/>
      <c r="T65" s="1"/>
      <c r="U65" s="1"/>
      <c r="V65" s="1"/>
      <c r="W65" s="1"/>
      <c r="X65" s="1"/>
      <c r="Y65" s="1"/>
      <c r="Z65" s="1"/>
    </row>
    <row r="66" spans="2:26" ht="45" x14ac:dyDescent="0.25">
      <c r="B66" s="14">
        <v>62</v>
      </c>
      <c r="C66" s="30" t="s">
        <v>229</v>
      </c>
      <c r="D66" s="31" t="s">
        <v>230</v>
      </c>
      <c r="E66" s="15" t="s">
        <v>231</v>
      </c>
      <c r="F66" s="16"/>
      <c r="G66" s="32" t="s">
        <v>232</v>
      </c>
      <c r="H66" s="31" t="s">
        <v>233</v>
      </c>
      <c r="I66" s="33">
        <v>43888</v>
      </c>
      <c r="J66" s="33">
        <v>44255</v>
      </c>
      <c r="K66" s="34">
        <v>15000</v>
      </c>
      <c r="L66" s="34"/>
      <c r="M66" s="20" t="s">
        <v>234</v>
      </c>
      <c r="N66" s="63" t="str" cm="1">
        <f t="array" ref="N66">MARCO(M66)</f>
        <v>No encontrada</v>
      </c>
      <c r="O66" s="20"/>
      <c r="P66" s="56" t="s">
        <v>100</v>
      </c>
      <c r="Q66" s="55"/>
      <c r="R66" s="1"/>
      <c r="S66" s="1"/>
      <c r="T66" s="1"/>
      <c r="U66" s="1"/>
      <c r="V66" s="1"/>
      <c r="W66" s="1"/>
      <c r="X66" s="1"/>
      <c r="Y66" s="1"/>
      <c r="Z66" s="1"/>
    </row>
    <row r="67" spans="2:26" ht="45" x14ac:dyDescent="0.25">
      <c r="B67" s="14">
        <v>63</v>
      </c>
      <c r="C67" s="30" t="s">
        <v>229</v>
      </c>
      <c r="D67" s="31" t="s">
        <v>230</v>
      </c>
      <c r="E67" s="15" t="s">
        <v>235</v>
      </c>
      <c r="F67" s="32" t="s">
        <v>236</v>
      </c>
      <c r="G67" s="32" t="s">
        <v>237</v>
      </c>
      <c r="H67" s="31" t="s">
        <v>233</v>
      </c>
      <c r="I67" s="33">
        <v>43888</v>
      </c>
      <c r="J67" s="33">
        <v>44255</v>
      </c>
      <c r="K67" s="34">
        <v>15000</v>
      </c>
      <c r="L67" s="34"/>
      <c r="M67" s="20" t="s">
        <v>238</v>
      </c>
      <c r="N67" s="63" t="str" cm="1">
        <f t="array" ref="N67">MARCO(M67)</f>
        <v>encontrada</v>
      </c>
      <c r="O67" s="20"/>
      <c r="P67" s="54" t="s">
        <v>22</v>
      </c>
      <c r="Q67" s="55"/>
      <c r="R67" s="1"/>
      <c r="S67" s="1"/>
      <c r="T67" s="1"/>
      <c r="U67" s="1"/>
      <c r="V67" s="1"/>
      <c r="W67" s="1"/>
      <c r="X67" s="1"/>
      <c r="Y67" s="1"/>
      <c r="Z67" s="1"/>
    </row>
    <row r="68" spans="2:26" ht="45" x14ac:dyDescent="0.25">
      <c r="B68" s="14">
        <v>64</v>
      </c>
      <c r="C68" s="30" t="s">
        <v>229</v>
      </c>
      <c r="D68" s="31" t="s">
        <v>230</v>
      </c>
      <c r="E68" s="15" t="s">
        <v>239</v>
      </c>
      <c r="F68" s="35" t="s">
        <v>240</v>
      </c>
      <c r="G68" s="35" t="s">
        <v>241</v>
      </c>
      <c r="H68" s="35" t="s">
        <v>233</v>
      </c>
      <c r="I68" s="33">
        <v>43888</v>
      </c>
      <c r="J68" s="33">
        <v>44255</v>
      </c>
      <c r="K68" s="34">
        <v>15000</v>
      </c>
      <c r="L68" s="34"/>
      <c r="M68" s="20" t="s">
        <v>242</v>
      </c>
      <c r="N68" s="63" t="str" cm="1">
        <f t="array" ref="N68">MARCO(M68)</f>
        <v>encontrada</v>
      </c>
      <c r="O68" s="20"/>
      <c r="P68" s="54" t="s">
        <v>22</v>
      </c>
      <c r="Q68" s="55"/>
      <c r="R68" s="1"/>
      <c r="S68" s="1"/>
      <c r="T68" s="1"/>
      <c r="U68" s="1"/>
      <c r="V68" s="1"/>
      <c r="W68" s="1"/>
      <c r="X68" s="1"/>
      <c r="Y68" s="1"/>
      <c r="Z68" s="1"/>
    </row>
    <row r="69" spans="2:26" ht="45" x14ac:dyDescent="0.25">
      <c r="B69" s="14">
        <v>65</v>
      </c>
      <c r="C69" s="30" t="s">
        <v>229</v>
      </c>
      <c r="D69" s="31" t="s">
        <v>230</v>
      </c>
      <c r="E69" s="15" t="s">
        <v>243</v>
      </c>
      <c r="F69" s="32" t="s">
        <v>244</v>
      </c>
      <c r="G69" s="32" t="s">
        <v>245</v>
      </c>
      <c r="H69" s="36" t="s">
        <v>233</v>
      </c>
      <c r="I69" s="33">
        <v>43888</v>
      </c>
      <c r="J69" s="33">
        <v>44255</v>
      </c>
      <c r="K69" s="34">
        <v>15000</v>
      </c>
      <c r="L69" s="34"/>
      <c r="M69" s="20" t="s">
        <v>246</v>
      </c>
      <c r="N69" s="63" t="str" cm="1">
        <f t="array" ref="N69">MARCO(M69)</f>
        <v>encontrada</v>
      </c>
      <c r="O69" s="20"/>
      <c r="P69" s="56" t="s">
        <v>113</v>
      </c>
      <c r="Q69" s="55"/>
      <c r="R69" s="1"/>
      <c r="S69" s="1"/>
      <c r="T69" s="1"/>
      <c r="U69" s="1"/>
      <c r="V69" s="1"/>
      <c r="W69" s="1"/>
      <c r="X69" s="1"/>
      <c r="Y69" s="1"/>
      <c r="Z69" s="1"/>
    </row>
    <row r="70" spans="2:26" ht="45" x14ac:dyDescent="0.25">
      <c r="B70" s="14">
        <v>66</v>
      </c>
      <c r="C70" s="30" t="s">
        <v>229</v>
      </c>
      <c r="D70" s="31" t="s">
        <v>230</v>
      </c>
      <c r="E70" s="15" t="s">
        <v>247</v>
      </c>
      <c r="F70" s="36" t="s">
        <v>248</v>
      </c>
      <c r="G70" s="36" t="s">
        <v>249</v>
      </c>
      <c r="H70" s="36" t="s">
        <v>233</v>
      </c>
      <c r="I70" s="33">
        <v>43888</v>
      </c>
      <c r="J70" s="33">
        <v>44255</v>
      </c>
      <c r="K70" s="34">
        <v>15000</v>
      </c>
      <c r="L70" s="34"/>
      <c r="M70" s="20" t="s">
        <v>250</v>
      </c>
      <c r="N70" s="63" t="str" cm="1">
        <f t="array" ref="N70">MARCO(M70)</f>
        <v>encontrada</v>
      </c>
      <c r="O70" s="20"/>
      <c r="P70" s="54" t="s">
        <v>22</v>
      </c>
      <c r="Q70" s="55"/>
      <c r="R70" s="1"/>
      <c r="S70" s="1"/>
      <c r="T70" s="1"/>
      <c r="U70" s="1"/>
      <c r="V70" s="1"/>
      <c r="W70" s="1"/>
      <c r="X70" s="1"/>
      <c r="Y70" s="1"/>
      <c r="Z70" s="1"/>
    </row>
    <row r="71" spans="2:26" ht="45" x14ac:dyDescent="0.25">
      <c r="B71" s="14">
        <v>67</v>
      </c>
      <c r="C71" s="30" t="s">
        <v>229</v>
      </c>
      <c r="D71" s="31" t="s">
        <v>230</v>
      </c>
      <c r="E71" s="15" t="s">
        <v>251</v>
      </c>
      <c r="F71" s="16"/>
      <c r="G71" s="32" t="s">
        <v>252</v>
      </c>
      <c r="H71" s="36" t="s">
        <v>233</v>
      </c>
      <c r="I71" s="33">
        <v>43888</v>
      </c>
      <c r="J71" s="33">
        <v>44255</v>
      </c>
      <c r="K71" s="34">
        <v>15000</v>
      </c>
      <c r="L71" s="34"/>
      <c r="M71" s="20" t="s">
        <v>253</v>
      </c>
      <c r="N71" s="63" t="str" cm="1">
        <f t="array" ref="N71">MARCO(M71)</f>
        <v>encontrada</v>
      </c>
      <c r="O71" s="20"/>
      <c r="P71" s="54" t="s">
        <v>22</v>
      </c>
      <c r="Q71" s="55"/>
      <c r="R71" s="1"/>
      <c r="S71" s="1"/>
      <c r="T71" s="1"/>
      <c r="U71" s="1"/>
      <c r="V71" s="1"/>
      <c r="W71" s="1"/>
      <c r="X71" s="1"/>
      <c r="Y71" s="1"/>
      <c r="Z71" s="1"/>
    </row>
    <row r="72" spans="2:26" ht="45" x14ac:dyDescent="0.25">
      <c r="B72" s="14">
        <v>68</v>
      </c>
      <c r="C72" s="30" t="s">
        <v>229</v>
      </c>
      <c r="D72" s="31" t="s">
        <v>254</v>
      </c>
      <c r="E72" s="15" t="s">
        <v>255</v>
      </c>
      <c r="F72" s="16"/>
      <c r="G72" s="32" t="s">
        <v>256</v>
      </c>
      <c r="H72" s="36" t="s">
        <v>233</v>
      </c>
      <c r="I72" s="33">
        <v>43888</v>
      </c>
      <c r="J72" s="33">
        <v>44255</v>
      </c>
      <c r="K72" s="34">
        <v>25000</v>
      </c>
      <c r="L72" s="34"/>
      <c r="M72" s="20" t="s">
        <v>257</v>
      </c>
      <c r="N72" s="63" t="str" cm="1">
        <f t="array" ref="N72">MARCO(M72)</f>
        <v>encontrada</v>
      </c>
      <c r="O72" s="20"/>
      <c r="P72" s="56" t="s">
        <v>33</v>
      </c>
      <c r="Q72" s="55"/>
      <c r="R72" s="1"/>
      <c r="S72" s="1"/>
      <c r="T72" s="1"/>
      <c r="U72" s="1"/>
      <c r="V72" s="1"/>
      <c r="W72" s="1"/>
      <c r="X72" s="1"/>
      <c r="Y72" s="1"/>
      <c r="Z72" s="1"/>
    </row>
    <row r="73" spans="2:26" ht="45" x14ac:dyDescent="0.25">
      <c r="B73" s="14">
        <v>69</v>
      </c>
      <c r="C73" s="30" t="s">
        <v>229</v>
      </c>
      <c r="D73" s="31" t="s">
        <v>254</v>
      </c>
      <c r="E73" s="15" t="s">
        <v>258</v>
      </c>
      <c r="F73" s="16"/>
      <c r="G73" s="32" t="s">
        <v>259</v>
      </c>
      <c r="H73" s="36" t="s">
        <v>233</v>
      </c>
      <c r="I73" s="33">
        <v>43888</v>
      </c>
      <c r="J73" s="33">
        <v>44255</v>
      </c>
      <c r="K73" s="34">
        <v>25000</v>
      </c>
      <c r="L73" s="34"/>
      <c r="M73" s="20" t="s">
        <v>260</v>
      </c>
      <c r="N73" s="63" t="str" cm="1">
        <f t="array" ref="N73">MARCO(M73)</f>
        <v>No encontrada</v>
      </c>
      <c r="O73" s="20"/>
      <c r="P73" s="56" t="s">
        <v>261</v>
      </c>
      <c r="Q73" s="55"/>
      <c r="R73" s="1"/>
      <c r="S73" s="1"/>
      <c r="T73" s="1"/>
      <c r="U73" s="1"/>
      <c r="V73" s="1"/>
      <c r="W73" s="1"/>
      <c r="X73" s="1"/>
      <c r="Y73" s="1"/>
      <c r="Z73" s="1"/>
    </row>
    <row r="74" spans="2:26" ht="45" x14ac:dyDescent="0.25">
      <c r="B74" s="14">
        <v>70</v>
      </c>
      <c r="C74" s="30" t="s">
        <v>229</v>
      </c>
      <c r="D74" s="31" t="s">
        <v>254</v>
      </c>
      <c r="E74" s="15" t="s">
        <v>262</v>
      </c>
      <c r="F74" s="16"/>
      <c r="G74" s="32" t="s">
        <v>263</v>
      </c>
      <c r="H74" s="36" t="s">
        <v>233</v>
      </c>
      <c r="I74" s="33">
        <v>43888</v>
      </c>
      <c r="J74" s="33">
        <v>44255</v>
      </c>
      <c r="K74" s="34">
        <v>25000</v>
      </c>
      <c r="L74" s="34"/>
      <c r="M74" s="20" t="s">
        <v>264</v>
      </c>
      <c r="N74" s="63" t="str" cm="1">
        <f t="array" ref="N74">MARCO(M74)</f>
        <v>encontrada</v>
      </c>
      <c r="O74" s="20"/>
      <c r="P74" s="56" t="s">
        <v>33</v>
      </c>
      <c r="Q74" s="55"/>
      <c r="R74" s="1"/>
      <c r="S74" s="1"/>
      <c r="T74" s="1"/>
      <c r="U74" s="1"/>
      <c r="V74" s="1"/>
      <c r="W74" s="1"/>
      <c r="X74" s="1"/>
      <c r="Y74" s="1"/>
      <c r="Z74" s="1"/>
    </row>
    <row r="75" spans="2:26" ht="45" x14ac:dyDescent="0.25">
      <c r="B75" s="37">
        <v>71</v>
      </c>
      <c r="C75" s="30" t="s">
        <v>229</v>
      </c>
      <c r="D75" s="31" t="s">
        <v>254</v>
      </c>
      <c r="E75" s="15" t="s">
        <v>265</v>
      </c>
      <c r="F75" s="16"/>
      <c r="G75" s="31" t="s">
        <v>266</v>
      </c>
      <c r="H75" s="36" t="s">
        <v>233</v>
      </c>
      <c r="I75" s="33">
        <v>43888</v>
      </c>
      <c r="J75" s="33">
        <v>44255</v>
      </c>
      <c r="K75" s="34">
        <v>25000</v>
      </c>
      <c r="L75" s="34"/>
      <c r="M75" s="20" t="s">
        <v>267</v>
      </c>
      <c r="N75" s="63" t="str" cm="1">
        <f t="array" ref="N75">MARCO(M75)</f>
        <v>No encontrada</v>
      </c>
      <c r="O75" s="20"/>
      <c r="P75" s="57" t="s">
        <v>46</v>
      </c>
      <c r="Q75" s="55"/>
      <c r="R75" s="1"/>
      <c r="S75" s="1"/>
      <c r="T75" s="1"/>
      <c r="U75" s="1"/>
      <c r="V75" s="1"/>
      <c r="W75" s="1"/>
      <c r="X75" s="1"/>
      <c r="Y75" s="1"/>
      <c r="Z75" s="1"/>
    </row>
    <row r="76" spans="2:26" ht="45" x14ac:dyDescent="0.25">
      <c r="B76" s="14">
        <v>72</v>
      </c>
      <c r="C76" s="31" t="s">
        <v>268</v>
      </c>
      <c r="D76" s="31" t="s">
        <v>269</v>
      </c>
      <c r="E76" s="15" t="s">
        <v>270</v>
      </c>
      <c r="F76" s="31" t="s">
        <v>271</v>
      </c>
      <c r="G76" s="31" t="s">
        <v>272</v>
      </c>
      <c r="H76" s="31" t="s">
        <v>233</v>
      </c>
      <c r="I76" s="38" t="s">
        <v>273</v>
      </c>
      <c r="J76" s="38" t="s">
        <v>274</v>
      </c>
      <c r="K76" s="39">
        <v>25000</v>
      </c>
      <c r="L76" s="39"/>
      <c r="M76" s="20" t="s">
        <v>275</v>
      </c>
      <c r="N76" s="63" t="str" cm="1">
        <f t="array" ref="N76">MARCO(M76)</f>
        <v>No encontrada</v>
      </c>
      <c r="O76" s="20"/>
      <c r="P76" s="58" t="s">
        <v>46</v>
      </c>
      <c r="Q76" s="55"/>
      <c r="R76" s="1"/>
      <c r="S76" s="1"/>
      <c r="T76" s="1"/>
      <c r="U76" s="1"/>
      <c r="V76" s="1"/>
      <c r="W76" s="1"/>
      <c r="X76" s="1"/>
      <c r="Y76" s="1"/>
      <c r="Z76" s="1"/>
    </row>
    <row r="77" spans="2:26" ht="45" x14ac:dyDescent="0.25">
      <c r="B77" s="14">
        <v>73</v>
      </c>
      <c r="C77" s="31" t="s">
        <v>268</v>
      </c>
      <c r="D77" s="31" t="s">
        <v>269</v>
      </c>
      <c r="E77" s="15" t="s">
        <v>276</v>
      </c>
      <c r="F77" s="31" t="s">
        <v>277</v>
      </c>
      <c r="G77" s="31" t="s">
        <v>278</v>
      </c>
      <c r="H77" s="31" t="s">
        <v>233</v>
      </c>
      <c r="I77" s="38" t="s">
        <v>273</v>
      </c>
      <c r="J77" s="38" t="s">
        <v>274</v>
      </c>
      <c r="K77" s="39">
        <v>25000</v>
      </c>
      <c r="L77" s="39"/>
      <c r="M77" s="20" t="s">
        <v>279</v>
      </c>
      <c r="N77" s="63" t="str" cm="1">
        <f t="array" ref="N77">MARCO(M77)</f>
        <v>encontrada</v>
      </c>
      <c r="O77" s="20"/>
      <c r="P77" s="54" t="s">
        <v>22</v>
      </c>
      <c r="Q77" s="55"/>
      <c r="R77" s="1"/>
      <c r="S77" s="1"/>
      <c r="T77" s="1"/>
      <c r="U77" s="1"/>
      <c r="V77" s="1"/>
      <c r="W77" s="1"/>
      <c r="X77" s="1"/>
      <c r="Y77" s="1"/>
      <c r="Z77" s="1"/>
    </row>
    <row r="78" spans="2:26" ht="45" x14ac:dyDescent="0.25">
      <c r="B78" s="14">
        <v>74</v>
      </c>
      <c r="C78" s="31" t="s">
        <v>268</v>
      </c>
      <c r="D78" s="31" t="s">
        <v>269</v>
      </c>
      <c r="E78" s="15" t="s">
        <v>280</v>
      </c>
      <c r="F78" s="31" t="s">
        <v>281</v>
      </c>
      <c r="G78" s="31" t="s">
        <v>282</v>
      </c>
      <c r="H78" s="31" t="s">
        <v>233</v>
      </c>
      <c r="I78" s="33" t="s">
        <v>273</v>
      </c>
      <c r="J78" s="33" t="s">
        <v>274</v>
      </c>
      <c r="K78" s="39">
        <v>25000</v>
      </c>
      <c r="L78" s="39"/>
      <c r="M78" s="20" t="s">
        <v>283</v>
      </c>
      <c r="N78" s="63" t="str" cm="1">
        <f t="array" ref="N78">MARCO(M78)</f>
        <v>encontrada</v>
      </c>
      <c r="O78" s="20"/>
      <c r="P78" s="54" t="s">
        <v>22</v>
      </c>
      <c r="Q78" s="55"/>
      <c r="R78" s="1"/>
      <c r="S78" s="1"/>
      <c r="T78" s="1"/>
      <c r="U78" s="1"/>
      <c r="V78" s="1"/>
      <c r="W78" s="1"/>
      <c r="X78" s="1"/>
      <c r="Y78" s="1"/>
      <c r="Z78" s="1"/>
    </row>
    <row r="79" spans="2:26" ht="45" x14ac:dyDescent="0.25">
      <c r="B79" s="37">
        <v>75</v>
      </c>
      <c r="C79" s="31" t="s">
        <v>268</v>
      </c>
      <c r="D79" s="31" t="s">
        <v>269</v>
      </c>
      <c r="E79" s="15" t="s">
        <v>284</v>
      </c>
      <c r="F79" s="31" t="s">
        <v>285</v>
      </c>
      <c r="G79" s="31" t="s">
        <v>286</v>
      </c>
      <c r="H79" s="31" t="s">
        <v>233</v>
      </c>
      <c r="I79" s="38" t="s">
        <v>273</v>
      </c>
      <c r="J79" s="38" t="s">
        <v>274</v>
      </c>
      <c r="K79" s="39">
        <v>25000</v>
      </c>
      <c r="L79" s="39"/>
      <c r="M79" s="20" t="s">
        <v>287</v>
      </c>
      <c r="N79" s="63" t="str" cm="1">
        <f t="array" ref="N79">MARCO(M79)</f>
        <v>encontrada</v>
      </c>
      <c r="O79" s="20"/>
      <c r="P79" s="58" t="s">
        <v>33</v>
      </c>
      <c r="Q79" s="55"/>
      <c r="R79" s="1"/>
      <c r="S79" s="1"/>
      <c r="T79" s="1"/>
      <c r="U79" s="1"/>
      <c r="V79" s="1"/>
      <c r="W79" s="1"/>
      <c r="X79" s="1"/>
      <c r="Y79" s="1"/>
      <c r="Z79" s="1"/>
    </row>
    <row r="80" spans="2:26" ht="45" x14ac:dyDescent="0.25">
      <c r="B80" s="14">
        <v>76</v>
      </c>
      <c r="C80" s="31" t="s">
        <v>268</v>
      </c>
      <c r="D80" s="31" t="s">
        <v>269</v>
      </c>
      <c r="E80" s="15" t="s">
        <v>288</v>
      </c>
      <c r="F80" s="31" t="s">
        <v>289</v>
      </c>
      <c r="G80" s="31" t="s">
        <v>290</v>
      </c>
      <c r="H80" s="31" t="s">
        <v>233</v>
      </c>
      <c r="I80" s="38" t="s">
        <v>273</v>
      </c>
      <c r="J80" s="38" t="s">
        <v>274</v>
      </c>
      <c r="K80" s="39">
        <v>25000</v>
      </c>
      <c r="L80" s="39"/>
      <c r="M80" s="20" t="s">
        <v>291</v>
      </c>
      <c r="N80" s="63" t="str" cm="1">
        <f t="array" ref="N80">MARCO(M80)</f>
        <v>encontrada</v>
      </c>
      <c r="O80" s="20"/>
      <c r="P80" s="58" t="s">
        <v>261</v>
      </c>
      <c r="Q80" s="55"/>
      <c r="R80" s="1"/>
      <c r="S80" s="1"/>
      <c r="T80" s="1"/>
      <c r="U80" s="1"/>
      <c r="V80" s="1"/>
      <c r="W80" s="1"/>
      <c r="X80" s="1"/>
      <c r="Y80" s="1"/>
      <c r="Z80" s="1"/>
    </row>
    <row r="81" spans="2:26" ht="45" x14ac:dyDescent="0.25">
      <c r="B81" s="14">
        <v>77</v>
      </c>
      <c r="C81" s="31" t="s">
        <v>268</v>
      </c>
      <c r="D81" s="31" t="s">
        <v>269</v>
      </c>
      <c r="E81" s="15" t="s">
        <v>292</v>
      </c>
      <c r="F81" s="31" t="s">
        <v>293</v>
      </c>
      <c r="G81" s="31" t="s">
        <v>294</v>
      </c>
      <c r="H81" s="31" t="s">
        <v>233</v>
      </c>
      <c r="I81" s="38" t="s">
        <v>273</v>
      </c>
      <c r="J81" s="38" t="s">
        <v>274</v>
      </c>
      <c r="K81" s="39">
        <v>25000</v>
      </c>
      <c r="L81" s="39"/>
      <c r="M81" s="20" t="s">
        <v>295</v>
      </c>
      <c r="N81" s="63" t="str" cm="1">
        <f t="array" ref="N81">MARCO(M81)</f>
        <v>No encontrada</v>
      </c>
      <c r="O81" s="20"/>
      <c r="P81" s="58" t="s">
        <v>46</v>
      </c>
      <c r="Q81" s="55"/>
      <c r="R81" s="1"/>
      <c r="S81" s="1"/>
      <c r="T81" s="1"/>
      <c r="U81" s="1"/>
      <c r="V81" s="1"/>
      <c r="W81" s="1"/>
      <c r="X81" s="1"/>
      <c r="Y81" s="1"/>
      <c r="Z81" s="1"/>
    </row>
    <row r="82" spans="2:26" ht="45" x14ac:dyDescent="0.25">
      <c r="B82" s="14">
        <v>78</v>
      </c>
      <c r="C82" s="31" t="s">
        <v>268</v>
      </c>
      <c r="D82" s="31" t="s">
        <v>269</v>
      </c>
      <c r="E82" s="15" t="s">
        <v>296</v>
      </c>
      <c r="F82" s="31" t="s">
        <v>297</v>
      </c>
      <c r="G82" s="31" t="s">
        <v>298</v>
      </c>
      <c r="H82" s="31" t="s">
        <v>233</v>
      </c>
      <c r="I82" s="38" t="s">
        <v>273</v>
      </c>
      <c r="J82" s="38" t="s">
        <v>274</v>
      </c>
      <c r="K82" s="39">
        <v>25000</v>
      </c>
      <c r="L82" s="39"/>
      <c r="M82" s="20" t="s">
        <v>299</v>
      </c>
      <c r="N82" s="63" t="str" cm="1">
        <f t="array" ref="N82">MARCO(M82)</f>
        <v>encontrada</v>
      </c>
      <c r="O82" s="20"/>
      <c r="P82" s="54" t="s">
        <v>22</v>
      </c>
      <c r="Q82" s="55"/>
      <c r="R82" s="1"/>
      <c r="S82" s="1"/>
      <c r="T82" s="1"/>
      <c r="U82" s="1"/>
      <c r="V82" s="1"/>
      <c r="W82" s="1"/>
      <c r="X82" s="1"/>
      <c r="Y82" s="1"/>
      <c r="Z82" s="1"/>
    </row>
    <row r="83" spans="2:26" ht="45" x14ac:dyDescent="0.25">
      <c r="B83" s="37">
        <v>79</v>
      </c>
      <c r="C83" s="31" t="s">
        <v>268</v>
      </c>
      <c r="D83" s="31" t="s">
        <v>269</v>
      </c>
      <c r="E83" s="15" t="s">
        <v>300</v>
      </c>
      <c r="F83" s="31" t="s">
        <v>301</v>
      </c>
      <c r="G83" s="31" t="s">
        <v>302</v>
      </c>
      <c r="H83" s="31" t="s">
        <v>233</v>
      </c>
      <c r="I83" s="38" t="s">
        <v>273</v>
      </c>
      <c r="J83" s="38" t="s">
        <v>274</v>
      </c>
      <c r="K83" s="39">
        <v>25000</v>
      </c>
      <c r="L83" s="39"/>
      <c r="M83" s="20" t="s">
        <v>303</v>
      </c>
      <c r="N83" s="63" t="str" cm="1">
        <f t="array" ref="N83">MARCO(M83)</f>
        <v>encontrada</v>
      </c>
      <c r="O83" s="20"/>
      <c r="P83" s="58" t="s">
        <v>33</v>
      </c>
      <c r="Q83" s="55"/>
      <c r="R83" s="1"/>
      <c r="S83" s="1"/>
      <c r="T83" s="1"/>
      <c r="U83" s="1"/>
      <c r="V83" s="1"/>
      <c r="W83" s="1"/>
      <c r="X83" s="1"/>
      <c r="Y83" s="1"/>
      <c r="Z83" s="1"/>
    </row>
    <row r="84" spans="2:26" ht="45" x14ac:dyDescent="0.25">
      <c r="B84" s="14">
        <v>80</v>
      </c>
      <c r="C84" s="31" t="s">
        <v>268</v>
      </c>
      <c r="D84" s="31" t="s">
        <v>269</v>
      </c>
      <c r="E84" s="15" t="s">
        <v>304</v>
      </c>
      <c r="F84" s="16"/>
      <c r="G84" s="31" t="s">
        <v>305</v>
      </c>
      <c r="H84" s="31" t="s">
        <v>233</v>
      </c>
      <c r="I84" s="38" t="s">
        <v>273</v>
      </c>
      <c r="J84" s="38" t="s">
        <v>274</v>
      </c>
      <c r="K84" s="39">
        <v>25000</v>
      </c>
      <c r="L84" s="39"/>
      <c r="M84" s="20" t="s">
        <v>306</v>
      </c>
      <c r="N84" s="63" t="str" cm="1">
        <f t="array" ref="N84">MARCO(M84)</f>
        <v>encontrada</v>
      </c>
      <c r="O84" s="20"/>
      <c r="P84" s="54" t="s">
        <v>22</v>
      </c>
      <c r="Q84" s="55"/>
      <c r="R84" s="1"/>
      <c r="S84" s="1"/>
      <c r="T84" s="1"/>
      <c r="U84" s="1"/>
      <c r="V84" s="1"/>
      <c r="W84" s="1"/>
      <c r="X84" s="1"/>
      <c r="Y84" s="1"/>
      <c r="Z84" s="1"/>
    </row>
    <row r="85" spans="2:26" ht="45" x14ac:dyDescent="0.25">
      <c r="B85" s="14">
        <v>81</v>
      </c>
      <c r="C85" s="31" t="s">
        <v>268</v>
      </c>
      <c r="D85" s="31" t="s">
        <v>307</v>
      </c>
      <c r="E85" s="15" t="s">
        <v>308</v>
      </c>
      <c r="F85" s="16"/>
      <c r="G85" s="31" t="s">
        <v>309</v>
      </c>
      <c r="H85" s="31" t="s">
        <v>233</v>
      </c>
      <c r="I85" s="38" t="s">
        <v>273</v>
      </c>
      <c r="J85" s="38" t="s">
        <v>274</v>
      </c>
      <c r="K85" s="39">
        <v>25000</v>
      </c>
      <c r="L85" s="39"/>
      <c r="M85" s="20" t="s">
        <v>310</v>
      </c>
      <c r="N85" s="63" t="str" cm="1">
        <f t="array" ref="N85">MARCO(M85)</f>
        <v>encontrada</v>
      </c>
      <c r="O85" s="20"/>
      <c r="P85" s="54" t="s">
        <v>22</v>
      </c>
      <c r="Q85" s="55"/>
      <c r="R85" s="1"/>
      <c r="S85" s="1"/>
      <c r="T85" s="1"/>
      <c r="U85" s="1"/>
      <c r="V85" s="1"/>
      <c r="W85" s="1"/>
      <c r="X85" s="1"/>
      <c r="Y85" s="1"/>
      <c r="Z85" s="1"/>
    </row>
    <row r="86" spans="2:26" ht="45" x14ac:dyDescent="0.25">
      <c r="B86" s="14">
        <v>82</v>
      </c>
      <c r="C86" s="31" t="s">
        <v>268</v>
      </c>
      <c r="D86" s="31" t="s">
        <v>307</v>
      </c>
      <c r="E86" s="15" t="s">
        <v>311</v>
      </c>
      <c r="F86" s="31" t="s">
        <v>312</v>
      </c>
      <c r="G86" s="31" t="s">
        <v>313</v>
      </c>
      <c r="H86" s="31" t="s">
        <v>233</v>
      </c>
      <c r="I86" s="38" t="s">
        <v>273</v>
      </c>
      <c r="J86" s="38" t="s">
        <v>274</v>
      </c>
      <c r="K86" s="39">
        <v>25000</v>
      </c>
      <c r="L86" s="39"/>
      <c r="M86" s="20" t="s">
        <v>314</v>
      </c>
      <c r="N86" s="63" t="str" cm="1">
        <f t="array" ref="N86">MARCO(M86)</f>
        <v>encontrada</v>
      </c>
      <c r="O86" s="20"/>
      <c r="P86" s="54" t="s">
        <v>22</v>
      </c>
      <c r="Q86" s="55"/>
      <c r="R86" s="1"/>
      <c r="S86" s="1"/>
      <c r="T86" s="1"/>
      <c r="U86" s="1"/>
      <c r="V86" s="1"/>
      <c r="W86" s="1"/>
      <c r="X86" s="1"/>
      <c r="Y86" s="1"/>
      <c r="Z86" s="1"/>
    </row>
    <row r="87" spans="2:26" ht="60" x14ac:dyDescent="0.25">
      <c r="B87" s="37">
        <v>83</v>
      </c>
      <c r="C87" s="40" t="s">
        <v>315</v>
      </c>
      <c r="D87" s="40" t="s">
        <v>316</v>
      </c>
      <c r="E87" s="15" t="s">
        <v>317</v>
      </c>
      <c r="F87" s="41" t="s">
        <v>318</v>
      </c>
      <c r="G87" s="42" t="s">
        <v>319</v>
      </c>
      <c r="H87" s="40" t="s">
        <v>64</v>
      </c>
      <c r="I87" s="43" t="s">
        <v>320</v>
      </c>
      <c r="J87" s="43" t="s">
        <v>321</v>
      </c>
      <c r="K87" s="44">
        <v>25000</v>
      </c>
      <c r="L87" s="44"/>
      <c r="M87" s="20" t="s">
        <v>322</v>
      </c>
      <c r="N87" s="63" t="str" cm="1">
        <f t="array" ref="N87">MARCO(M87)</f>
        <v>encontrada</v>
      </c>
      <c r="O87" s="20"/>
      <c r="P87" s="42" t="s">
        <v>33</v>
      </c>
      <c r="Q87" s="55"/>
      <c r="R87" s="1"/>
      <c r="S87" s="1"/>
      <c r="T87" s="1"/>
      <c r="U87" s="1"/>
      <c r="V87" s="1"/>
      <c r="W87" s="1"/>
      <c r="X87" s="1"/>
      <c r="Y87" s="1"/>
      <c r="Z87" s="1"/>
    </row>
    <row r="88" spans="2:26" ht="60" x14ac:dyDescent="0.25">
      <c r="B88" s="14">
        <v>84</v>
      </c>
      <c r="C88" s="40" t="s">
        <v>315</v>
      </c>
      <c r="D88" s="40" t="s">
        <v>323</v>
      </c>
      <c r="E88" s="15" t="s">
        <v>324</v>
      </c>
      <c r="F88" s="41" t="s">
        <v>325</v>
      </c>
      <c r="G88" s="42" t="s">
        <v>326</v>
      </c>
      <c r="H88" s="40" t="s">
        <v>64</v>
      </c>
      <c r="I88" s="43" t="s">
        <v>320</v>
      </c>
      <c r="J88" s="43" t="s">
        <v>321</v>
      </c>
      <c r="K88" s="44">
        <v>25000</v>
      </c>
      <c r="L88" s="44"/>
      <c r="M88" s="20" t="s">
        <v>327</v>
      </c>
      <c r="N88" s="63" t="str" cm="1">
        <f t="array" ref="N88">MARCO(M88)</f>
        <v>encontrada</v>
      </c>
      <c r="O88" s="20"/>
      <c r="P88" s="42" t="s">
        <v>33</v>
      </c>
      <c r="Q88" s="55"/>
      <c r="R88" s="1"/>
      <c r="S88" s="1"/>
      <c r="T88" s="1"/>
      <c r="U88" s="1"/>
      <c r="V88" s="1"/>
      <c r="W88" s="1"/>
      <c r="X88" s="1"/>
      <c r="Y88" s="1"/>
      <c r="Z88" s="1"/>
    </row>
    <row r="89" spans="2:26" ht="60" x14ac:dyDescent="0.25">
      <c r="B89" s="14">
        <v>85</v>
      </c>
      <c r="C89" s="40" t="s">
        <v>315</v>
      </c>
      <c r="D89" s="40" t="s">
        <v>328</v>
      </c>
      <c r="E89" s="15" t="s">
        <v>329</v>
      </c>
      <c r="F89" s="41" t="s">
        <v>330</v>
      </c>
      <c r="G89" s="42" t="s">
        <v>331</v>
      </c>
      <c r="H89" s="40" t="s">
        <v>64</v>
      </c>
      <c r="I89" s="43" t="s">
        <v>320</v>
      </c>
      <c r="J89" s="43" t="s">
        <v>321</v>
      </c>
      <c r="K89" s="44">
        <v>25000</v>
      </c>
      <c r="L89" s="44"/>
      <c r="M89" s="20" t="s">
        <v>332</v>
      </c>
      <c r="N89" s="63" t="str" cm="1">
        <f t="array" ref="N89">MARCO(M89)</f>
        <v>encontrada</v>
      </c>
      <c r="O89" s="20"/>
      <c r="P89" s="42" t="s">
        <v>33</v>
      </c>
      <c r="Q89" s="55"/>
      <c r="R89" s="1"/>
      <c r="S89" s="1"/>
      <c r="T89" s="1"/>
      <c r="U89" s="1"/>
      <c r="V89" s="1"/>
      <c r="W89" s="1"/>
      <c r="X89" s="1"/>
      <c r="Y89" s="1"/>
      <c r="Z89" s="1"/>
    </row>
    <row r="90" spans="2:26" ht="60" x14ac:dyDescent="0.25">
      <c r="B90" s="14">
        <v>86</v>
      </c>
      <c r="C90" s="40" t="s">
        <v>315</v>
      </c>
      <c r="D90" s="40" t="s">
        <v>333</v>
      </c>
      <c r="E90" s="15" t="s">
        <v>334</v>
      </c>
      <c r="F90" s="41" t="s">
        <v>335</v>
      </c>
      <c r="G90" s="42" t="s">
        <v>336</v>
      </c>
      <c r="H90" s="40" t="s">
        <v>64</v>
      </c>
      <c r="I90" s="43" t="s">
        <v>320</v>
      </c>
      <c r="J90" s="43" t="s">
        <v>321</v>
      </c>
      <c r="K90" s="44">
        <v>25000</v>
      </c>
      <c r="L90" s="44"/>
      <c r="M90" s="20" t="s">
        <v>337</v>
      </c>
      <c r="N90" s="63" t="str" cm="1">
        <f t="array" ref="N90">MARCO(M90)</f>
        <v>encontrada</v>
      </c>
      <c r="O90" s="20"/>
      <c r="P90" s="54" t="s">
        <v>22</v>
      </c>
      <c r="Q90" s="55"/>
      <c r="R90" s="1"/>
      <c r="S90" s="1"/>
      <c r="T90" s="1"/>
      <c r="U90" s="1"/>
      <c r="V90" s="1"/>
      <c r="W90" s="1"/>
      <c r="X90" s="1"/>
      <c r="Y90" s="1"/>
      <c r="Z90" s="1"/>
    </row>
    <row r="91" spans="2:26" ht="60" x14ac:dyDescent="0.25">
      <c r="B91" s="37">
        <v>87</v>
      </c>
      <c r="C91" s="40" t="s">
        <v>315</v>
      </c>
      <c r="D91" s="40" t="s">
        <v>338</v>
      </c>
      <c r="E91" s="15" t="s">
        <v>339</v>
      </c>
      <c r="F91" s="41" t="s">
        <v>340</v>
      </c>
      <c r="G91" s="42" t="s">
        <v>341</v>
      </c>
      <c r="H91" s="40" t="s">
        <v>64</v>
      </c>
      <c r="I91" s="43" t="s">
        <v>320</v>
      </c>
      <c r="J91" s="43" t="s">
        <v>321</v>
      </c>
      <c r="K91" s="44">
        <v>25000</v>
      </c>
      <c r="L91" s="44"/>
      <c r="M91" s="20" t="s">
        <v>342</v>
      </c>
      <c r="N91" s="63" t="str" cm="1">
        <f t="array" ref="N91">MARCO(M91)</f>
        <v>encontrada</v>
      </c>
      <c r="O91" s="20"/>
      <c r="P91" s="54" t="s">
        <v>22</v>
      </c>
      <c r="Q91" s="55"/>
      <c r="R91" s="1"/>
      <c r="S91" s="1"/>
      <c r="T91" s="1"/>
      <c r="U91" s="1"/>
      <c r="V91" s="1"/>
      <c r="W91" s="1"/>
      <c r="X91" s="1"/>
      <c r="Y91" s="1"/>
      <c r="Z91" s="1"/>
    </row>
    <row r="92" spans="2:26" ht="60" x14ac:dyDescent="0.25">
      <c r="B92" s="14">
        <v>88</v>
      </c>
      <c r="C92" s="40" t="s">
        <v>315</v>
      </c>
      <c r="D92" s="40" t="s">
        <v>343</v>
      </c>
      <c r="E92" s="15" t="s">
        <v>344</v>
      </c>
      <c r="F92" s="41" t="s">
        <v>345</v>
      </c>
      <c r="G92" s="42" t="s">
        <v>346</v>
      </c>
      <c r="H92" s="40" t="s">
        <v>64</v>
      </c>
      <c r="I92" s="43" t="s">
        <v>320</v>
      </c>
      <c r="J92" s="43" t="s">
        <v>321</v>
      </c>
      <c r="K92" s="44">
        <v>25000</v>
      </c>
      <c r="L92" s="44"/>
      <c r="M92" s="20" t="s">
        <v>347</v>
      </c>
      <c r="N92" s="63" t="str" cm="1">
        <f t="array" ref="N92">MARCO(M92)</f>
        <v>encontrada</v>
      </c>
      <c r="O92" s="20"/>
      <c r="P92" s="42" t="s">
        <v>33</v>
      </c>
      <c r="Q92" s="55"/>
      <c r="R92" s="1"/>
      <c r="S92" s="1"/>
      <c r="T92" s="1"/>
      <c r="U92" s="1"/>
      <c r="V92" s="1"/>
      <c r="W92" s="1"/>
      <c r="X92" s="1"/>
      <c r="Y92" s="1"/>
      <c r="Z92" s="1"/>
    </row>
    <row r="93" spans="2:26" ht="60" x14ac:dyDescent="0.25">
      <c r="B93" s="14">
        <v>89</v>
      </c>
      <c r="C93" s="40" t="s">
        <v>315</v>
      </c>
      <c r="D93" s="40" t="s">
        <v>348</v>
      </c>
      <c r="E93" s="15" t="s">
        <v>349</v>
      </c>
      <c r="F93" s="41" t="s">
        <v>350</v>
      </c>
      <c r="G93" s="42" t="s">
        <v>351</v>
      </c>
      <c r="H93" s="40" t="s">
        <v>64</v>
      </c>
      <c r="I93" s="43" t="s">
        <v>320</v>
      </c>
      <c r="J93" s="43" t="s">
        <v>321</v>
      </c>
      <c r="K93" s="44">
        <v>25000</v>
      </c>
      <c r="L93" s="44"/>
      <c r="M93" s="20" t="s">
        <v>352</v>
      </c>
      <c r="N93" s="63" t="str" cm="1">
        <f t="array" ref="N93">MARCO(M93)</f>
        <v>encontrada</v>
      </c>
      <c r="O93" s="20"/>
      <c r="P93" s="54" t="s">
        <v>22</v>
      </c>
      <c r="Q93" s="55"/>
      <c r="R93" s="1"/>
      <c r="S93" s="1"/>
      <c r="T93" s="1"/>
      <c r="U93" s="1"/>
      <c r="V93" s="1"/>
      <c r="W93" s="1"/>
      <c r="X93" s="1"/>
      <c r="Y93" s="1"/>
      <c r="Z93" s="1"/>
    </row>
    <row r="94" spans="2:26" ht="60" x14ac:dyDescent="0.25">
      <c r="B94" s="14">
        <v>90</v>
      </c>
      <c r="C94" s="40" t="s">
        <v>315</v>
      </c>
      <c r="D94" s="40" t="s">
        <v>348</v>
      </c>
      <c r="E94" s="15" t="s">
        <v>353</v>
      </c>
      <c r="F94" s="41" t="s">
        <v>354</v>
      </c>
      <c r="G94" s="42" t="s">
        <v>355</v>
      </c>
      <c r="H94" s="40" t="s">
        <v>64</v>
      </c>
      <c r="I94" s="43" t="s">
        <v>320</v>
      </c>
      <c r="J94" s="43" t="s">
        <v>321</v>
      </c>
      <c r="K94" s="44">
        <v>25000</v>
      </c>
      <c r="L94" s="44"/>
      <c r="M94" s="20" t="s">
        <v>356</v>
      </c>
      <c r="N94" s="63" t="str" cm="1">
        <f t="array" ref="N94">MARCO(M94)</f>
        <v>encontrada</v>
      </c>
      <c r="O94" s="20"/>
      <c r="P94" s="42" t="s">
        <v>357</v>
      </c>
      <c r="Q94" s="55"/>
      <c r="R94" s="1"/>
      <c r="S94" s="1"/>
      <c r="T94" s="1"/>
      <c r="U94" s="1"/>
      <c r="V94" s="1"/>
      <c r="W94" s="1"/>
      <c r="X94" s="1"/>
      <c r="Y94" s="1"/>
      <c r="Z94" s="1"/>
    </row>
    <row r="95" spans="2:26" ht="60" x14ac:dyDescent="0.25">
      <c r="B95" s="37">
        <v>91</v>
      </c>
      <c r="C95" s="40" t="s">
        <v>315</v>
      </c>
      <c r="D95" s="40" t="s">
        <v>358</v>
      </c>
      <c r="E95" s="15" t="s">
        <v>359</v>
      </c>
      <c r="F95" s="41" t="s">
        <v>360</v>
      </c>
      <c r="G95" s="42" t="s">
        <v>361</v>
      </c>
      <c r="H95" s="40" t="s">
        <v>64</v>
      </c>
      <c r="I95" s="43" t="s">
        <v>320</v>
      </c>
      <c r="J95" s="43" t="s">
        <v>321</v>
      </c>
      <c r="K95" s="44">
        <v>25000</v>
      </c>
      <c r="L95" s="44"/>
      <c r="M95" s="20" t="s">
        <v>362</v>
      </c>
      <c r="N95" s="63" t="str" cm="1">
        <f t="array" ref="N95">MARCO(M95)</f>
        <v>No encontrada</v>
      </c>
      <c r="O95" s="20"/>
      <c r="P95" s="42" t="s">
        <v>46</v>
      </c>
      <c r="Q95" s="55"/>
      <c r="R95" s="1"/>
      <c r="S95" s="1"/>
      <c r="T95" s="1"/>
      <c r="U95" s="1"/>
      <c r="V95" s="1"/>
      <c r="W95" s="1"/>
      <c r="X95" s="1"/>
      <c r="Y95" s="1"/>
      <c r="Z95" s="1"/>
    </row>
    <row r="96" spans="2:26" ht="60" x14ac:dyDescent="0.25">
      <c r="B96" s="14">
        <v>92</v>
      </c>
      <c r="C96" s="40" t="s">
        <v>315</v>
      </c>
      <c r="D96" s="40" t="s">
        <v>363</v>
      </c>
      <c r="E96" s="15" t="s">
        <v>364</v>
      </c>
      <c r="F96" s="41" t="s">
        <v>365</v>
      </c>
      <c r="G96" s="42" t="s">
        <v>366</v>
      </c>
      <c r="H96" s="40" t="s">
        <v>64</v>
      </c>
      <c r="I96" s="43" t="s">
        <v>320</v>
      </c>
      <c r="J96" s="43" t="s">
        <v>321</v>
      </c>
      <c r="K96" s="44">
        <v>25000</v>
      </c>
      <c r="L96" s="44"/>
      <c r="M96" s="20" t="s">
        <v>367</v>
      </c>
      <c r="N96" s="63" t="str" cm="1">
        <f t="array" ref="N96">MARCO(M96)</f>
        <v>No encontrada</v>
      </c>
      <c r="O96" s="20"/>
      <c r="P96" s="42" t="s">
        <v>46</v>
      </c>
      <c r="Q96" s="55"/>
      <c r="R96" s="1"/>
      <c r="S96" s="1"/>
      <c r="T96" s="1"/>
      <c r="U96" s="1"/>
      <c r="V96" s="1"/>
      <c r="W96" s="1"/>
      <c r="X96" s="1"/>
      <c r="Y96" s="1"/>
      <c r="Z96" s="1"/>
    </row>
    <row r="97" spans="2:26" ht="60" x14ac:dyDescent="0.25">
      <c r="B97" s="14">
        <v>93</v>
      </c>
      <c r="C97" s="40" t="s">
        <v>315</v>
      </c>
      <c r="D97" s="40" t="s">
        <v>368</v>
      </c>
      <c r="E97" s="15" t="s">
        <v>369</v>
      </c>
      <c r="F97" s="41" t="s">
        <v>370</v>
      </c>
      <c r="G97" s="42" t="s">
        <v>371</v>
      </c>
      <c r="H97" s="40" t="s">
        <v>64</v>
      </c>
      <c r="I97" s="43" t="s">
        <v>320</v>
      </c>
      <c r="J97" s="43" t="s">
        <v>321</v>
      </c>
      <c r="K97" s="44">
        <v>25000</v>
      </c>
      <c r="L97" s="44"/>
      <c r="M97" s="20" t="s">
        <v>372</v>
      </c>
      <c r="N97" s="63" t="str" cm="1">
        <f t="array" ref="N97">MARCO(M97)</f>
        <v>No encontrada</v>
      </c>
      <c r="O97" s="20"/>
      <c r="P97" s="42" t="s">
        <v>46</v>
      </c>
      <c r="Q97" s="55"/>
      <c r="R97" s="1"/>
      <c r="S97" s="1"/>
      <c r="T97" s="1"/>
      <c r="U97" s="1"/>
      <c r="V97" s="1"/>
      <c r="W97" s="1"/>
      <c r="X97" s="1"/>
      <c r="Y97" s="1"/>
      <c r="Z97" s="1"/>
    </row>
    <row r="98" spans="2:26" ht="60" x14ac:dyDescent="0.25">
      <c r="B98" s="14">
        <v>94</v>
      </c>
      <c r="C98" s="40" t="s">
        <v>315</v>
      </c>
      <c r="D98" s="40" t="s">
        <v>368</v>
      </c>
      <c r="E98" s="15" t="s">
        <v>373</v>
      </c>
      <c r="F98" s="41" t="s">
        <v>374</v>
      </c>
      <c r="G98" s="42" t="s">
        <v>375</v>
      </c>
      <c r="H98" s="40" t="s">
        <v>64</v>
      </c>
      <c r="I98" s="43" t="s">
        <v>320</v>
      </c>
      <c r="J98" s="43" t="s">
        <v>321</v>
      </c>
      <c r="K98" s="44">
        <v>25000</v>
      </c>
      <c r="L98" s="44"/>
      <c r="M98" s="20" t="s">
        <v>376</v>
      </c>
      <c r="N98" s="63" t="str" cm="1">
        <f t="array" ref="N98">MARCO(M98)</f>
        <v>encontrada</v>
      </c>
      <c r="O98" s="20"/>
      <c r="P98" s="42" t="s">
        <v>33</v>
      </c>
      <c r="Q98" s="55"/>
      <c r="R98" s="1"/>
      <c r="S98" s="1"/>
      <c r="T98" s="1"/>
      <c r="U98" s="1"/>
      <c r="V98" s="1"/>
      <c r="W98" s="1"/>
      <c r="X98" s="1"/>
      <c r="Y98" s="1"/>
      <c r="Z98" s="1"/>
    </row>
    <row r="99" spans="2:26" ht="60" x14ac:dyDescent="0.25">
      <c r="B99" s="37">
        <v>95</v>
      </c>
      <c r="C99" s="40" t="s">
        <v>315</v>
      </c>
      <c r="D99" s="40" t="s">
        <v>377</v>
      </c>
      <c r="E99" s="15" t="s">
        <v>378</v>
      </c>
      <c r="F99" s="41" t="s">
        <v>379</v>
      </c>
      <c r="G99" s="42" t="s">
        <v>380</v>
      </c>
      <c r="H99" s="40" t="s">
        <v>64</v>
      </c>
      <c r="I99" s="43" t="s">
        <v>320</v>
      </c>
      <c r="J99" s="43" t="s">
        <v>321</v>
      </c>
      <c r="K99" s="44">
        <v>25000</v>
      </c>
      <c r="L99" s="44"/>
      <c r="M99" s="20" t="s">
        <v>381</v>
      </c>
      <c r="N99" s="63" t="str" cm="1">
        <f t="array" ref="N99">MARCO(M99)</f>
        <v>encontrada</v>
      </c>
      <c r="O99" s="20"/>
      <c r="P99" s="42" t="s">
        <v>382</v>
      </c>
      <c r="Q99" s="55"/>
      <c r="R99" s="1"/>
      <c r="S99" s="1"/>
      <c r="T99" s="1"/>
      <c r="U99" s="1"/>
      <c r="V99" s="1"/>
      <c r="W99" s="1"/>
      <c r="X99" s="1"/>
      <c r="Y99" s="1"/>
      <c r="Z99" s="1"/>
    </row>
    <row r="100" spans="2:26" ht="60" x14ac:dyDescent="0.25">
      <c r="B100" s="14">
        <v>96</v>
      </c>
      <c r="C100" s="40" t="s">
        <v>315</v>
      </c>
      <c r="D100" s="40" t="s">
        <v>377</v>
      </c>
      <c r="E100" s="15" t="s">
        <v>383</v>
      </c>
      <c r="F100" s="41" t="s">
        <v>384</v>
      </c>
      <c r="G100" s="42" t="s">
        <v>385</v>
      </c>
      <c r="H100" s="40" t="s">
        <v>64</v>
      </c>
      <c r="I100" s="43" t="s">
        <v>320</v>
      </c>
      <c r="J100" s="43" t="s">
        <v>321</v>
      </c>
      <c r="K100" s="44">
        <v>25000</v>
      </c>
      <c r="L100" s="44"/>
      <c r="M100" s="20" t="s">
        <v>386</v>
      </c>
      <c r="N100" s="63" t="str" cm="1">
        <f t="array" ref="N100">MARCO(M100)</f>
        <v>encontrada</v>
      </c>
      <c r="O100" s="20"/>
      <c r="P100" s="42" t="s">
        <v>33</v>
      </c>
      <c r="Q100" s="55"/>
      <c r="R100" s="1"/>
      <c r="S100" s="1"/>
      <c r="T100" s="1"/>
      <c r="U100" s="1"/>
      <c r="V100" s="1"/>
      <c r="W100" s="1"/>
      <c r="X100" s="1"/>
      <c r="Y100" s="1"/>
      <c r="Z100" s="1"/>
    </row>
    <row r="101" spans="2:26" ht="60" x14ac:dyDescent="0.25">
      <c r="B101" s="14">
        <v>97</v>
      </c>
      <c r="C101" s="40" t="s">
        <v>315</v>
      </c>
      <c r="D101" s="40" t="s">
        <v>387</v>
      </c>
      <c r="E101" s="15" t="s">
        <v>388</v>
      </c>
      <c r="F101" s="41" t="s">
        <v>389</v>
      </c>
      <c r="G101" s="42" t="s">
        <v>390</v>
      </c>
      <c r="H101" s="40" t="s">
        <v>64</v>
      </c>
      <c r="I101" s="43" t="s">
        <v>320</v>
      </c>
      <c r="J101" s="43" t="s">
        <v>321</v>
      </c>
      <c r="K101" s="44">
        <v>25000</v>
      </c>
      <c r="L101" s="44"/>
      <c r="M101" s="20" t="s">
        <v>391</v>
      </c>
      <c r="N101" s="63" t="str" cm="1">
        <f t="array" ref="N101">MARCO(M101)</f>
        <v>encontrada</v>
      </c>
      <c r="O101" s="20"/>
      <c r="P101" s="42" t="s">
        <v>33</v>
      </c>
      <c r="Q101" s="55"/>
      <c r="R101" s="1"/>
      <c r="S101" s="1"/>
      <c r="T101" s="1"/>
      <c r="U101" s="1"/>
      <c r="V101" s="1"/>
      <c r="W101" s="1"/>
      <c r="X101" s="1"/>
      <c r="Y101" s="1"/>
      <c r="Z101" s="1"/>
    </row>
    <row r="102" spans="2:26" ht="60" x14ac:dyDescent="0.25">
      <c r="B102" s="14">
        <v>98</v>
      </c>
      <c r="C102" s="40" t="s">
        <v>315</v>
      </c>
      <c r="D102" s="40" t="s">
        <v>392</v>
      </c>
      <c r="E102" s="15" t="s">
        <v>393</v>
      </c>
      <c r="F102" s="41" t="s">
        <v>394</v>
      </c>
      <c r="G102" s="42" t="s">
        <v>395</v>
      </c>
      <c r="H102" s="40" t="s">
        <v>64</v>
      </c>
      <c r="I102" s="43" t="s">
        <v>320</v>
      </c>
      <c r="J102" s="43" t="s">
        <v>321</v>
      </c>
      <c r="K102" s="44">
        <v>25000</v>
      </c>
      <c r="L102" s="44"/>
      <c r="M102" s="20" t="s">
        <v>396</v>
      </c>
      <c r="N102" s="63" t="str" cm="1">
        <f t="array" ref="N102">MARCO(M102)</f>
        <v>encontrada</v>
      </c>
      <c r="O102" s="20"/>
      <c r="P102" s="42" t="s">
        <v>33</v>
      </c>
      <c r="Q102" s="55"/>
      <c r="R102" s="1"/>
      <c r="S102" s="1"/>
      <c r="T102" s="1"/>
      <c r="U102" s="1"/>
      <c r="V102" s="1"/>
      <c r="W102" s="1"/>
      <c r="X102" s="1"/>
      <c r="Y102" s="1"/>
      <c r="Z102" s="1"/>
    </row>
    <row r="103" spans="2:26" ht="60" x14ac:dyDescent="0.25">
      <c r="B103" s="37">
        <v>99</v>
      </c>
      <c r="C103" s="40" t="s">
        <v>315</v>
      </c>
      <c r="D103" s="40" t="s">
        <v>387</v>
      </c>
      <c r="E103" s="15" t="s">
        <v>397</v>
      </c>
      <c r="F103" s="41" t="s">
        <v>398</v>
      </c>
      <c r="G103" s="42" t="s">
        <v>399</v>
      </c>
      <c r="H103" s="40" t="s">
        <v>64</v>
      </c>
      <c r="I103" s="43" t="s">
        <v>320</v>
      </c>
      <c r="J103" s="43" t="s">
        <v>321</v>
      </c>
      <c r="K103" s="44">
        <v>25000</v>
      </c>
      <c r="L103" s="44"/>
      <c r="M103" s="20" t="s">
        <v>400</v>
      </c>
      <c r="N103" s="63" t="str" cm="1">
        <f t="array" ref="N103">MARCO(M103)</f>
        <v>encontrada</v>
      </c>
      <c r="O103" s="20"/>
      <c r="P103" s="42" t="s">
        <v>33</v>
      </c>
      <c r="Q103" s="55"/>
      <c r="R103" s="1"/>
      <c r="S103" s="1"/>
      <c r="T103" s="1"/>
      <c r="U103" s="1"/>
      <c r="V103" s="1"/>
      <c r="W103" s="1"/>
      <c r="X103" s="1"/>
      <c r="Y103" s="1"/>
      <c r="Z103" s="1"/>
    </row>
    <row r="104" spans="2:26" ht="60.75" thickBot="1" x14ac:dyDescent="0.3">
      <c r="B104" s="45">
        <v>100</v>
      </c>
      <c r="C104" s="46" t="s">
        <v>315</v>
      </c>
      <c r="D104" s="46" t="s">
        <v>387</v>
      </c>
      <c r="E104" s="47" t="s">
        <v>401</v>
      </c>
      <c r="F104" s="48" t="s">
        <v>402</v>
      </c>
      <c r="G104" s="49" t="s">
        <v>403</v>
      </c>
      <c r="H104" s="46" t="s">
        <v>64</v>
      </c>
      <c r="I104" s="50" t="s">
        <v>320</v>
      </c>
      <c r="J104" s="50" t="s">
        <v>321</v>
      </c>
      <c r="K104" s="51">
        <v>25000</v>
      </c>
      <c r="L104" s="51"/>
      <c r="M104" s="52" t="s">
        <v>404</v>
      </c>
      <c r="N104" s="63" t="str" cm="1">
        <f t="array" ref="N104">MARCO(M104)</f>
        <v>No encontrada</v>
      </c>
      <c r="O104" s="52"/>
      <c r="P104" s="49" t="s">
        <v>100</v>
      </c>
      <c r="Q104" s="59"/>
      <c r="R104" s="1"/>
      <c r="S104" s="1"/>
      <c r="T104" s="1"/>
      <c r="U104" s="1"/>
      <c r="V104" s="1"/>
      <c r="W104" s="1"/>
      <c r="X104" s="1"/>
      <c r="Y104" s="1"/>
      <c r="Z104" s="1"/>
    </row>
    <row r="105" spans="2:26" ht="15.75" thickBot="1" x14ac:dyDescent="0.3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2:26" ht="33" x14ac:dyDescent="0.25">
      <c r="B106" s="1"/>
      <c r="C106" s="1"/>
      <c r="D106" s="1"/>
      <c r="E106" s="1"/>
      <c r="F106" s="1"/>
      <c r="G106" s="1"/>
      <c r="H106" s="1"/>
      <c r="I106" s="1"/>
      <c r="J106" s="7" t="s">
        <v>405</v>
      </c>
      <c r="K106" s="6">
        <f>SUM(K5:K104)</f>
        <v>2935000</v>
      </c>
      <c r="L106" s="8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2:26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2:26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2:26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2:26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2:26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2:26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2:26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2:26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2:26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2:26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2:26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2:26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2:26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2:26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2:26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2:26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2:26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2:26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2:26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2:26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2:26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2:26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2:26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2:26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2:26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2:26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2:26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2:26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2:26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2:26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2:26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2:26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2:26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2:26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2:26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2:26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2:26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2:26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2:26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2:26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2:26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2:26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2:26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2:26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2:26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2:26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2:26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2:26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2:26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2:26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2:26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2:26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2:26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2:26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2:26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2:26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2:26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2:26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2:26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2:26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2:26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2:26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2:26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2:26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2:26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2:26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2:26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2:26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2:26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2:26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2:26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2:26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2:26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2:26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2:26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2:26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2:26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2:26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2:26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2:26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2:26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2:26" x14ac:dyDescent="0.25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2:26" x14ac:dyDescent="0.25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2:26" x14ac:dyDescent="0.25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2:26" x14ac:dyDescent="0.25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2:26" x14ac:dyDescent="0.25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2:26" x14ac:dyDescent="0.2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2:26" x14ac:dyDescent="0.25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2:26" x14ac:dyDescent="0.25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2:26" x14ac:dyDescent="0.25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2:26" x14ac:dyDescent="0.25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2:26" x14ac:dyDescent="0.25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2:26" x14ac:dyDescent="0.25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2:26" x14ac:dyDescent="0.25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2:26" x14ac:dyDescent="0.25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2:26" x14ac:dyDescent="0.25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2:26" x14ac:dyDescent="0.25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2:26" x14ac:dyDescent="0.25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2:26" x14ac:dyDescent="0.25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2:26" x14ac:dyDescent="0.25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2:26" x14ac:dyDescent="0.25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2:26" x14ac:dyDescent="0.25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2:26" x14ac:dyDescent="0.25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2:26" x14ac:dyDescent="0.25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2:26" x14ac:dyDescent="0.25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2:26" x14ac:dyDescent="0.25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2:26" x14ac:dyDescent="0.25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2:26" x14ac:dyDescent="0.25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2:26" x14ac:dyDescent="0.25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2:26" x14ac:dyDescent="0.25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2:26" x14ac:dyDescent="0.25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2:26" x14ac:dyDescent="0.25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2:26" x14ac:dyDescent="0.25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2:26" x14ac:dyDescent="0.25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2:26" x14ac:dyDescent="0.25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2:26" x14ac:dyDescent="0.25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2:26" x14ac:dyDescent="0.25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2:26" x14ac:dyDescent="0.25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2:26" x14ac:dyDescent="0.25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2:26" x14ac:dyDescent="0.25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2:26" x14ac:dyDescent="0.25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2:26" x14ac:dyDescent="0.25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2:26" x14ac:dyDescent="0.25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2:26" x14ac:dyDescent="0.25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2:26" x14ac:dyDescent="0.25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2:26" x14ac:dyDescent="0.25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2:26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2:26" x14ac:dyDescent="0.25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2:26" x14ac:dyDescent="0.25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2:26" x14ac:dyDescent="0.25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2:26" x14ac:dyDescent="0.25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2:26" x14ac:dyDescent="0.25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2:26" x14ac:dyDescent="0.25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2:26" x14ac:dyDescent="0.25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2:26" x14ac:dyDescent="0.25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2:26" x14ac:dyDescent="0.25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2:26" x14ac:dyDescent="0.25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2:26" x14ac:dyDescent="0.25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2:26" x14ac:dyDescent="0.25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2:26" x14ac:dyDescent="0.25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2:26" x14ac:dyDescent="0.25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2:26" x14ac:dyDescent="0.25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2:26" x14ac:dyDescent="0.25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2:26" x14ac:dyDescent="0.25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2:26" x14ac:dyDescent="0.25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2:26" x14ac:dyDescent="0.25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2:26" x14ac:dyDescent="0.25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2:26" x14ac:dyDescent="0.25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2:26" x14ac:dyDescent="0.25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2:26" x14ac:dyDescent="0.25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2:26" x14ac:dyDescent="0.25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2:26" x14ac:dyDescent="0.25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2:26" x14ac:dyDescent="0.25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2:26" x14ac:dyDescent="0.25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2:26" x14ac:dyDescent="0.25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2:26" x14ac:dyDescent="0.25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2:26" x14ac:dyDescent="0.25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2:26" x14ac:dyDescent="0.25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6" x14ac:dyDescent="0.25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6" x14ac:dyDescent="0.25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6" x14ac:dyDescent="0.25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6" x14ac:dyDescent="0.25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6" x14ac:dyDescent="0.25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6" x14ac:dyDescent="0.25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6" x14ac:dyDescent="0.25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6" x14ac:dyDescent="0.25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 x14ac:dyDescent="0.25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 x14ac:dyDescent="0.25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 x14ac:dyDescent="0.25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 x14ac:dyDescent="0.25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 x14ac:dyDescent="0.25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 x14ac:dyDescent="0.25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 x14ac:dyDescent="0.25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 x14ac:dyDescent="0.25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 x14ac:dyDescent="0.25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 x14ac:dyDescent="0.25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 x14ac:dyDescent="0.25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 x14ac:dyDescent="0.25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 x14ac:dyDescent="0.25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 x14ac:dyDescent="0.25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 x14ac:dyDescent="0.25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2:26" x14ac:dyDescent="0.25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2:26" x14ac:dyDescent="0.25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2:26" x14ac:dyDescent="0.25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2:26" x14ac:dyDescent="0.25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2:26" x14ac:dyDescent="0.25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2:26" x14ac:dyDescent="0.25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2:26" x14ac:dyDescent="0.25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2:26" x14ac:dyDescent="0.25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2:26" x14ac:dyDescent="0.25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2:26" x14ac:dyDescent="0.25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2:26" x14ac:dyDescent="0.25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2:26" x14ac:dyDescent="0.25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2:26" x14ac:dyDescent="0.25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2:26" x14ac:dyDescent="0.25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2:26" x14ac:dyDescent="0.25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2:26" x14ac:dyDescent="0.25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2:26" x14ac:dyDescent="0.25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2:26" x14ac:dyDescent="0.25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2:26" x14ac:dyDescent="0.25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2:26" x14ac:dyDescent="0.25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2:26" x14ac:dyDescent="0.25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2:26" x14ac:dyDescent="0.25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2:26" x14ac:dyDescent="0.25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2:26" x14ac:dyDescent="0.25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2:26" x14ac:dyDescent="0.25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2:26" x14ac:dyDescent="0.25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2:26" x14ac:dyDescent="0.25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2:26" x14ac:dyDescent="0.25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2:26" x14ac:dyDescent="0.25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2:26" x14ac:dyDescent="0.25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2:26" x14ac:dyDescent="0.25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2:26" x14ac:dyDescent="0.25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2:26" x14ac:dyDescent="0.25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2:26" x14ac:dyDescent="0.25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2:26" x14ac:dyDescent="0.25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2:26" x14ac:dyDescent="0.25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2:26" x14ac:dyDescent="0.25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2:26" x14ac:dyDescent="0.25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2:26" x14ac:dyDescent="0.25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2:26" x14ac:dyDescent="0.25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2:26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2:26" x14ac:dyDescent="0.25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2:26" x14ac:dyDescent="0.25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2:26" x14ac:dyDescent="0.25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2:26" x14ac:dyDescent="0.25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2:26" x14ac:dyDescent="0.25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2:26" x14ac:dyDescent="0.25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2:26" x14ac:dyDescent="0.25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2:26" x14ac:dyDescent="0.25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2:26" x14ac:dyDescent="0.25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2:26" x14ac:dyDescent="0.25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2:26" x14ac:dyDescent="0.25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2:26" x14ac:dyDescent="0.25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2:26" x14ac:dyDescent="0.25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2:26" x14ac:dyDescent="0.25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2:26" x14ac:dyDescent="0.25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2:26" x14ac:dyDescent="0.25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2:26" x14ac:dyDescent="0.25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2:26" x14ac:dyDescent="0.25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2:26" x14ac:dyDescent="0.25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2:26" x14ac:dyDescent="0.25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2:26" x14ac:dyDescent="0.25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2:26" x14ac:dyDescent="0.25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2:26" x14ac:dyDescent="0.25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2:26" x14ac:dyDescent="0.25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2:26" x14ac:dyDescent="0.25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2:26" x14ac:dyDescent="0.25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2:26" x14ac:dyDescent="0.25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2:26" x14ac:dyDescent="0.25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2:26" x14ac:dyDescent="0.25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2:26" x14ac:dyDescent="0.25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2:26" x14ac:dyDescent="0.25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2:26" x14ac:dyDescent="0.25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2:26" x14ac:dyDescent="0.25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2:26" x14ac:dyDescent="0.25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2:26" x14ac:dyDescent="0.25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2:26" x14ac:dyDescent="0.25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2:26" x14ac:dyDescent="0.25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2:26" x14ac:dyDescent="0.25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2:26" x14ac:dyDescent="0.25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2:26" x14ac:dyDescent="0.25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2:26" x14ac:dyDescent="0.25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2:26" x14ac:dyDescent="0.25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2:26" x14ac:dyDescent="0.25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2:26" x14ac:dyDescent="0.25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2:26" x14ac:dyDescent="0.25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2:26" x14ac:dyDescent="0.25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2:26" x14ac:dyDescent="0.25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2:26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2:26" x14ac:dyDescent="0.25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2:26" x14ac:dyDescent="0.25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2:26" x14ac:dyDescent="0.25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2:26" x14ac:dyDescent="0.25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2:26" x14ac:dyDescent="0.25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2:26" x14ac:dyDescent="0.25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2:26" x14ac:dyDescent="0.25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2:26" x14ac:dyDescent="0.25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2:26" x14ac:dyDescent="0.25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2:26" x14ac:dyDescent="0.25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2:26" x14ac:dyDescent="0.25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2:26" x14ac:dyDescent="0.25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2:26" x14ac:dyDescent="0.25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2:26" x14ac:dyDescent="0.25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2:26" x14ac:dyDescent="0.25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2:26" x14ac:dyDescent="0.25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2:26" x14ac:dyDescent="0.25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2:26" x14ac:dyDescent="0.25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2:26" x14ac:dyDescent="0.25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2:26" x14ac:dyDescent="0.25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2:26" x14ac:dyDescent="0.25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2:26" x14ac:dyDescent="0.25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2:26" x14ac:dyDescent="0.25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2:26" x14ac:dyDescent="0.25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2:26" x14ac:dyDescent="0.25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2:26" x14ac:dyDescent="0.25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2:26" x14ac:dyDescent="0.25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2:26" x14ac:dyDescent="0.25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2:26" x14ac:dyDescent="0.25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2:26" x14ac:dyDescent="0.25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2:26" x14ac:dyDescent="0.25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2:26" x14ac:dyDescent="0.25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2:26" x14ac:dyDescent="0.25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2:26" x14ac:dyDescent="0.25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2:26" x14ac:dyDescent="0.25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2:26" x14ac:dyDescent="0.25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2:26" x14ac:dyDescent="0.25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2:26" x14ac:dyDescent="0.25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2:26" x14ac:dyDescent="0.25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2:26" x14ac:dyDescent="0.25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2:26" x14ac:dyDescent="0.25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2:26" x14ac:dyDescent="0.25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2:26" x14ac:dyDescent="0.25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2:26" x14ac:dyDescent="0.25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2:26" x14ac:dyDescent="0.25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2:26" x14ac:dyDescent="0.25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2:26" x14ac:dyDescent="0.25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2:26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2:26" x14ac:dyDescent="0.25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2:26" x14ac:dyDescent="0.25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2:26" x14ac:dyDescent="0.25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2:26" x14ac:dyDescent="0.25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2:26" x14ac:dyDescent="0.25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2:26" x14ac:dyDescent="0.25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2:26" x14ac:dyDescent="0.25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2:26" x14ac:dyDescent="0.25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2:26" x14ac:dyDescent="0.25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2:26" x14ac:dyDescent="0.25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2:26" x14ac:dyDescent="0.25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2:26" x14ac:dyDescent="0.25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2:26" x14ac:dyDescent="0.25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2:26" x14ac:dyDescent="0.25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2:26" x14ac:dyDescent="0.25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2:26" x14ac:dyDescent="0.25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2:26" x14ac:dyDescent="0.25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2:26" x14ac:dyDescent="0.25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2:26" x14ac:dyDescent="0.25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2:26" x14ac:dyDescent="0.25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2:26" x14ac:dyDescent="0.25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2:26" x14ac:dyDescent="0.25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2:26" x14ac:dyDescent="0.25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2:26" x14ac:dyDescent="0.25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2:26" x14ac:dyDescent="0.25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2:26" x14ac:dyDescent="0.25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2:26" x14ac:dyDescent="0.25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2:26" x14ac:dyDescent="0.25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2:26" x14ac:dyDescent="0.25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2:26" x14ac:dyDescent="0.25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2:26" x14ac:dyDescent="0.25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2:26" x14ac:dyDescent="0.25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2:26" x14ac:dyDescent="0.25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2:26" x14ac:dyDescent="0.25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2:26" x14ac:dyDescent="0.25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2:26" x14ac:dyDescent="0.25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2:26" x14ac:dyDescent="0.25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2:26" x14ac:dyDescent="0.25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2:26" x14ac:dyDescent="0.25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2:26" x14ac:dyDescent="0.25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2:26" x14ac:dyDescent="0.25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2:26" x14ac:dyDescent="0.25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2:26" x14ac:dyDescent="0.25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2:26" x14ac:dyDescent="0.25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2:26" x14ac:dyDescent="0.25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2:26" x14ac:dyDescent="0.25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2:26" x14ac:dyDescent="0.25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2:26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2:26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2:26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2:26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2:26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2:26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2:26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2:26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2:26" x14ac:dyDescent="0.25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2:26" x14ac:dyDescent="0.25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2:26" x14ac:dyDescent="0.25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2:26" x14ac:dyDescent="0.25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2:26" x14ac:dyDescent="0.25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2:26" x14ac:dyDescent="0.25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2:26" x14ac:dyDescent="0.25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2:26" x14ac:dyDescent="0.25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2:26" x14ac:dyDescent="0.25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2:26" x14ac:dyDescent="0.25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2:26" x14ac:dyDescent="0.25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2:26" x14ac:dyDescent="0.25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2:26" x14ac:dyDescent="0.25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2:26" x14ac:dyDescent="0.25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2:26" x14ac:dyDescent="0.25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2:26" x14ac:dyDescent="0.25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2:26" x14ac:dyDescent="0.25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2:26" x14ac:dyDescent="0.25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2:26" x14ac:dyDescent="0.25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2:26" x14ac:dyDescent="0.25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2:26" x14ac:dyDescent="0.25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2:26" x14ac:dyDescent="0.25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2:26" x14ac:dyDescent="0.25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2:26" x14ac:dyDescent="0.25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2:26" x14ac:dyDescent="0.25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2:26" x14ac:dyDescent="0.25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2:26" x14ac:dyDescent="0.25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2:26" x14ac:dyDescent="0.25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2:26" x14ac:dyDescent="0.25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2:26" x14ac:dyDescent="0.25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2:26" x14ac:dyDescent="0.25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2:26" x14ac:dyDescent="0.25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2:26" x14ac:dyDescent="0.25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2:26" x14ac:dyDescent="0.25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2:26" x14ac:dyDescent="0.25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2:26" x14ac:dyDescent="0.25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2:26" x14ac:dyDescent="0.25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2:26" x14ac:dyDescent="0.25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2:26" x14ac:dyDescent="0.25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2:26" x14ac:dyDescent="0.25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2:26" x14ac:dyDescent="0.25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2:26" x14ac:dyDescent="0.25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2:26" x14ac:dyDescent="0.25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2:26" x14ac:dyDescent="0.25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2:26" x14ac:dyDescent="0.25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2:26" x14ac:dyDescent="0.25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2:26" x14ac:dyDescent="0.25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2:26" x14ac:dyDescent="0.25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2:26" x14ac:dyDescent="0.25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2:26" x14ac:dyDescent="0.25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2:26" x14ac:dyDescent="0.25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2:26" x14ac:dyDescent="0.25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2:26" x14ac:dyDescent="0.25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2:26" x14ac:dyDescent="0.25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2:26" x14ac:dyDescent="0.25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2:26" x14ac:dyDescent="0.25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2:26" x14ac:dyDescent="0.25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2:26" x14ac:dyDescent="0.25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2:26" x14ac:dyDescent="0.25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2:26" x14ac:dyDescent="0.25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2:26" x14ac:dyDescent="0.25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2:26" x14ac:dyDescent="0.25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2:26" x14ac:dyDescent="0.25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2:26" x14ac:dyDescent="0.25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2:26" x14ac:dyDescent="0.25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2:26" x14ac:dyDescent="0.25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2:26" x14ac:dyDescent="0.25"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2:26" x14ac:dyDescent="0.25"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2:26" x14ac:dyDescent="0.25"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2:26" x14ac:dyDescent="0.25"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2:26" x14ac:dyDescent="0.25"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2:26" x14ac:dyDescent="0.25"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2:26" x14ac:dyDescent="0.25"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2:26" x14ac:dyDescent="0.25"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2:26" x14ac:dyDescent="0.25"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2:26" x14ac:dyDescent="0.25"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2:26" x14ac:dyDescent="0.25"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2:26" x14ac:dyDescent="0.25"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2:26" x14ac:dyDescent="0.25"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2:26" x14ac:dyDescent="0.25"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2:26" x14ac:dyDescent="0.25"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2:26" x14ac:dyDescent="0.25"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2:26" x14ac:dyDescent="0.25"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2:26" x14ac:dyDescent="0.25"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2:26" x14ac:dyDescent="0.25"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2:26" x14ac:dyDescent="0.25"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2:26" x14ac:dyDescent="0.25"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2:26" x14ac:dyDescent="0.25"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2:26" x14ac:dyDescent="0.25"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2:26" x14ac:dyDescent="0.25"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2:26" x14ac:dyDescent="0.25"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2:26" x14ac:dyDescent="0.25"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2:26" x14ac:dyDescent="0.25"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2:26" x14ac:dyDescent="0.25"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2:26" x14ac:dyDescent="0.25"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2:26" x14ac:dyDescent="0.25"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2:26" x14ac:dyDescent="0.25"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2:26" x14ac:dyDescent="0.25"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2:26" x14ac:dyDescent="0.25"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2:26" x14ac:dyDescent="0.25"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2:26" x14ac:dyDescent="0.25"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2:26" x14ac:dyDescent="0.25"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2:26" x14ac:dyDescent="0.25"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2:26" x14ac:dyDescent="0.25"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2:26" x14ac:dyDescent="0.25"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2:26" x14ac:dyDescent="0.25"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2:26" x14ac:dyDescent="0.25"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2:26" x14ac:dyDescent="0.25"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2:26" x14ac:dyDescent="0.25"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2:26" x14ac:dyDescent="0.25"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2:26" x14ac:dyDescent="0.25"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2:26" x14ac:dyDescent="0.25"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2:26" x14ac:dyDescent="0.25"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2:26" x14ac:dyDescent="0.25"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2:26" x14ac:dyDescent="0.25"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2:26" x14ac:dyDescent="0.25"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2:26" x14ac:dyDescent="0.25"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2:26" x14ac:dyDescent="0.25"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2:26" x14ac:dyDescent="0.25"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2:26" x14ac:dyDescent="0.25"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2:26" x14ac:dyDescent="0.25"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2:26" x14ac:dyDescent="0.25"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2:26" x14ac:dyDescent="0.25"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2:26" x14ac:dyDescent="0.25"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2:26" x14ac:dyDescent="0.25"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2:26" x14ac:dyDescent="0.25"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2:26" x14ac:dyDescent="0.25"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2:26" x14ac:dyDescent="0.25"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2:26" x14ac:dyDescent="0.25"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2:26" x14ac:dyDescent="0.25"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2:26" x14ac:dyDescent="0.25"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2:26" x14ac:dyDescent="0.25"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2:26" x14ac:dyDescent="0.25"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2:26" x14ac:dyDescent="0.25"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2:26" x14ac:dyDescent="0.25"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2:26" x14ac:dyDescent="0.25"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2:26" x14ac:dyDescent="0.25"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2:26" x14ac:dyDescent="0.25"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2:26" x14ac:dyDescent="0.25"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2:26" x14ac:dyDescent="0.25"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2:26" x14ac:dyDescent="0.25"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2:26" x14ac:dyDescent="0.25"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2:26" x14ac:dyDescent="0.25"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2:26" x14ac:dyDescent="0.25"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2:26" x14ac:dyDescent="0.25"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2:26" x14ac:dyDescent="0.25"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2:26" x14ac:dyDescent="0.25"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2:26" x14ac:dyDescent="0.25"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2:26" x14ac:dyDescent="0.25"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2:26" x14ac:dyDescent="0.25"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2:26" x14ac:dyDescent="0.25"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2:26" x14ac:dyDescent="0.25"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2:26" x14ac:dyDescent="0.25"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2:26" x14ac:dyDescent="0.25"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2:26" x14ac:dyDescent="0.25"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2:26" x14ac:dyDescent="0.25"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2:26" x14ac:dyDescent="0.25"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2:26" x14ac:dyDescent="0.25"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2:26" x14ac:dyDescent="0.25"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2:26" x14ac:dyDescent="0.25"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2:26" x14ac:dyDescent="0.25"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2:26" x14ac:dyDescent="0.25"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2:26" x14ac:dyDescent="0.25"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2:26" x14ac:dyDescent="0.25"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2:26" x14ac:dyDescent="0.25"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2:26" x14ac:dyDescent="0.25"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2:26" x14ac:dyDescent="0.25"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2:26" x14ac:dyDescent="0.25"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2:26" x14ac:dyDescent="0.25"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2:26" x14ac:dyDescent="0.25"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2:26" x14ac:dyDescent="0.25"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2:26" x14ac:dyDescent="0.25"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2:26" x14ac:dyDescent="0.25"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2:26" x14ac:dyDescent="0.25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2:26" x14ac:dyDescent="0.25"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2:26" x14ac:dyDescent="0.25"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2:26" x14ac:dyDescent="0.25"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2:26" x14ac:dyDescent="0.25"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2:26" x14ac:dyDescent="0.25"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2:26" x14ac:dyDescent="0.25"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2:26" x14ac:dyDescent="0.25"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2:26" x14ac:dyDescent="0.25"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2:26" x14ac:dyDescent="0.25"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2:26" x14ac:dyDescent="0.25"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2:26" x14ac:dyDescent="0.25"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2:26" x14ac:dyDescent="0.25"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2:26" x14ac:dyDescent="0.25"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2:26" x14ac:dyDescent="0.25"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2:26" x14ac:dyDescent="0.25"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2:26" x14ac:dyDescent="0.25"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2:26" x14ac:dyDescent="0.25"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2:26" x14ac:dyDescent="0.25"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2:26" x14ac:dyDescent="0.25"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2:26" x14ac:dyDescent="0.25"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2:26" x14ac:dyDescent="0.25"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2:26" x14ac:dyDescent="0.25"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2:26" x14ac:dyDescent="0.25"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2:26" x14ac:dyDescent="0.25"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2:26" x14ac:dyDescent="0.25"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2:26" x14ac:dyDescent="0.25"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2:26" x14ac:dyDescent="0.25"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2:26" x14ac:dyDescent="0.25"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2:26" x14ac:dyDescent="0.25"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2:26" x14ac:dyDescent="0.25"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2:26" x14ac:dyDescent="0.25"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2:26" x14ac:dyDescent="0.25"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2:26" x14ac:dyDescent="0.25"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2:26" x14ac:dyDescent="0.25"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2:26" x14ac:dyDescent="0.25"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2:26" x14ac:dyDescent="0.25"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2:26" x14ac:dyDescent="0.25"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2:26" x14ac:dyDescent="0.25"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2:26" x14ac:dyDescent="0.25"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2:26" x14ac:dyDescent="0.25"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2:26" x14ac:dyDescent="0.25"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2:26" x14ac:dyDescent="0.25"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2:26" x14ac:dyDescent="0.25"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2:26" x14ac:dyDescent="0.25"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2:26" x14ac:dyDescent="0.25"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2:26" x14ac:dyDescent="0.25"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2:26" x14ac:dyDescent="0.25"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2:26" x14ac:dyDescent="0.25"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2:26" x14ac:dyDescent="0.25"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2:26" x14ac:dyDescent="0.25"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2:26" x14ac:dyDescent="0.25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2:26" x14ac:dyDescent="0.25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2:26" x14ac:dyDescent="0.25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2:26" x14ac:dyDescent="0.25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2:26" x14ac:dyDescent="0.25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2:26" x14ac:dyDescent="0.25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2:26" x14ac:dyDescent="0.25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2:26" x14ac:dyDescent="0.25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2:26" x14ac:dyDescent="0.25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2:26" x14ac:dyDescent="0.25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2:26" x14ac:dyDescent="0.25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2:26" x14ac:dyDescent="0.25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2:26" x14ac:dyDescent="0.25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2:26" x14ac:dyDescent="0.25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2:26" x14ac:dyDescent="0.25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2:26" x14ac:dyDescent="0.25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2:26" x14ac:dyDescent="0.25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2:26" x14ac:dyDescent="0.25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2:26" x14ac:dyDescent="0.25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2:26" x14ac:dyDescent="0.25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2:26" x14ac:dyDescent="0.25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2:26" x14ac:dyDescent="0.25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2:26" x14ac:dyDescent="0.25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2:26" x14ac:dyDescent="0.25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2:26" x14ac:dyDescent="0.25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2:26" x14ac:dyDescent="0.25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2:26" x14ac:dyDescent="0.25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2:26" x14ac:dyDescent="0.25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2:26" x14ac:dyDescent="0.25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2:26" x14ac:dyDescent="0.25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2:26" x14ac:dyDescent="0.25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2:26" x14ac:dyDescent="0.25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2:26" x14ac:dyDescent="0.25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2:26" x14ac:dyDescent="0.25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2:26" x14ac:dyDescent="0.25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2:26" x14ac:dyDescent="0.25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2:26" x14ac:dyDescent="0.25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2:26" x14ac:dyDescent="0.25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2:26" x14ac:dyDescent="0.25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2:26" x14ac:dyDescent="0.25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2:26" x14ac:dyDescent="0.25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2:26" x14ac:dyDescent="0.25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2:26" x14ac:dyDescent="0.25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2:26" x14ac:dyDescent="0.25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2:26" x14ac:dyDescent="0.25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2:26" x14ac:dyDescent="0.25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2:26" x14ac:dyDescent="0.25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2:26" x14ac:dyDescent="0.25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2:26" x14ac:dyDescent="0.25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2:26" x14ac:dyDescent="0.25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2:26" x14ac:dyDescent="0.25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2:26" x14ac:dyDescent="0.25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2:26" x14ac:dyDescent="0.25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2:26" x14ac:dyDescent="0.25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2:26" x14ac:dyDescent="0.25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2:26" x14ac:dyDescent="0.25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2:26" x14ac:dyDescent="0.25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2:26" x14ac:dyDescent="0.25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2:26" x14ac:dyDescent="0.25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2:26" x14ac:dyDescent="0.25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2:26" x14ac:dyDescent="0.25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2:26" x14ac:dyDescent="0.25"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2:26" x14ac:dyDescent="0.25"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2:26" x14ac:dyDescent="0.25"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2:26" x14ac:dyDescent="0.25"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2:26" x14ac:dyDescent="0.25"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2:26" x14ac:dyDescent="0.25"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2:26" x14ac:dyDescent="0.25"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2:26" x14ac:dyDescent="0.25"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2:26" x14ac:dyDescent="0.25"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2:26" x14ac:dyDescent="0.25"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2:26" x14ac:dyDescent="0.25"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2:26" x14ac:dyDescent="0.25"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2:26" x14ac:dyDescent="0.25"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2:26" x14ac:dyDescent="0.25"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2:26" x14ac:dyDescent="0.25"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2:26" x14ac:dyDescent="0.25"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2:26" x14ac:dyDescent="0.25"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2:26" x14ac:dyDescent="0.25"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2:26" x14ac:dyDescent="0.25"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2:26" x14ac:dyDescent="0.25"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2:26" x14ac:dyDescent="0.25"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2:26" x14ac:dyDescent="0.25"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2:26" x14ac:dyDescent="0.25"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2:26" x14ac:dyDescent="0.25"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2:26" x14ac:dyDescent="0.25"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2:26" x14ac:dyDescent="0.25"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2:26" x14ac:dyDescent="0.25"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2:26" x14ac:dyDescent="0.25"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2:26" x14ac:dyDescent="0.25"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2:26" x14ac:dyDescent="0.25"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2:26" x14ac:dyDescent="0.25"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2:26" x14ac:dyDescent="0.25"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2:26" x14ac:dyDescent="0.25"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2:26" x14ac:dyDescent="0.25"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2:26" x14ac:dyDescent="0.25"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2:26" x14ac:dyDescent="0.25"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2:26" x14ac:dyDescent="0.25"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2:26" x14ac:dyDescent="0.25"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2:26" x14ac:dyDescent="0.25"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2:26" x14ac:dyDescent="0.25"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2:26" x14ac:dyDescent="0.25"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2:26" x14ac:dyDescent="0.25"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2:26" x14ac:dyDescent="0.25"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2:26" x14ac:dyDescent="0.25"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2:26" x14ac:dyDescent="0.25"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2:26" x14ac:dyDescent="0.25"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2:26" x14ac:dyDescent="0.25"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2:26" x14ac:dyDescent="0.25"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2:26" x14ac:dyDescent="0.25"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2:26" x14ac:dyDescent="0.25"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2:26" x14ac:dyDescent="0.25"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2:26" x14ac:dyDescent="0.25"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2:26" x14ac:dyDescent="0.25"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2:26" x14ac:dyDescent="0.25"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2:26" x14ac:dyDescent="0.25"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2:26" x14ac:dyDescent="0.25"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2:26" x14ac:dyDescent="0.25"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2:26" x14ac:dyDescent="0.25"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2:26" x14ac:dyDescent="0.25"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2:26" x14ac:dyDescent="0.25"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2:26" x14ac:dyDescent="0.25"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2:26" x14ac:dyDescent="0.25"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2:26" x14ac:dyDescent="0.25"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2:26" x14ac:dyDescent="0.25"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2:26" x14ac:dyDescent="0.25"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2:26" x14ac:dyDescent="0.25"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2:26" x14ac:dyDescent="0.25"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2:26" x14ac:dyDescent="0.25"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2:26" x14ac:dyDescent="0.25"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2:26" x14ac:dyDescent="0.25"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2:26" x14ac:dyDescent="0.25"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2:26" x14ac:dyDescent="0.25"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2:26" x14ac:dyDescent="0.25"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2:26" x14ac:dyDescent="0.25"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2:26" x14ac:dyDescent="0.25"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2:26" x14ac:dyDescent="0.25"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2:26" x14ac:dyDescent="0.25"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2:26" x14ac:dyDescent="0.25"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2:26" x14ac:dyDescent="0.25"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2:26" x14ac:dyDescent="0.25"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2:26" x14ac:dyDescent="0.25"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2:26" x14ac:dyDescent="0.25"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2:26" x14ac:dyDescent="0.25"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2:26" x14ac:dyDescent="0.25"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2:26" x14ac:dyDescent="0.25"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2:26" x14ac:dyDescent="0.25"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2:26" x14ac:dyDescent="0.25"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2:26" x14ac:dyDescent="0.25"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2:26" x14ac:dyDescent="0.25"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2:26" x14ac:dyDescent="0.25"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2:26" x14ac:dyDescent="0.25"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2:26" x14ac:dyDescent="0.25"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2:26" x14ac:dyDescent="0.25"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2:26" x14ac:dyDescent="0.25"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2:26" x14ac:dyDescent="0.25"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2:26" x14ac:dyDescent="0.25"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2:26" x14ac:dyDescent="0.25"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2:26" x14ac:dyDescent="0.25"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2:26" x14ac:dyDescent="0.25"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2:26" x14ac:dyDescent="0.25"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2:26" x14ac:dyDescent="0.25"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2:26" x14ac:dyDescent="0.25"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2:26" x14ac:dyDescent="0.25"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2:26" x14ac:dyDescent="0.25"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2:26" x14ac:dyDescent="0.25"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2:26" x14ac:dyDescent="0.25"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2:26" x14ac:dyDescent="0.25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2:26" x14ac:dyDescent="0.25"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2:26" x14ac:dyDescent="0.25"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2:26" x14ac:dyDescent="0.25"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2:26" x14ac:dyDescent="0.25"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2:26" x14ac:dyDescent="0.25"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2:26" x14ac:dyDescent="0.25"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2:26" x14ac:dyDescent="0.25"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2:26" x14ac:dyDescent="0.25"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2:26" x14ac:dyDescent="0.25"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2:26" x14ac:dyDescent="0.25"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2:26" x14ac:dyDescent="0.25"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2:26" x14ac:dyDescent="0.25"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2:26" x14ac:dyDescent="0.25"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2:26" x14ac:dyDescent="0.25"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2:26" x14ac:dyDescent="0.25"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2:26" x14ac:dyDescent="0.25"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2:26" x14ac:dyDescent="0.25"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2:26" x14ac:dyDescent="0.25"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2:26" x14ac:dyDescent="0.25"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2:26" x14ac:dyDescent="0.25"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2:26" ht="15" customHeight="1" x14ac:dyDescent="0.25"/>
  </sheetData>
  <autoFilter ref="B4:Z104" xr:uid="{46214DCC-4D7D-4660-A930-2C2E542A5A73}">
    <filterColumn colId="7" showButton="0"/>
  </autoFilter>
  <mergeCells count="1">
    <mergeCell ref="I4:J4"/>
  </mergeCells>
  <pageMargins left="0.23622047244094491" right="0.23622047244094491" top="0.74803149606299213" bottom="0.74803149606299213" header="0.31496062992125984" footer="0.31496062992125984"/>
  <pageSetup scale="45" orientation="landscape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F4AB3555707D44BB7C85095826A41F8" ma:contentTypeVersion="10" ma:contentTypeDescription="Crear nuevo documento." ma:contentTypeScope="" ma:versionID="f9cecc6c33bdd9e2c2733efccd372c24">
  <xsd:schema xmlns:xsd="http://www.w3.org/2001/XMLSchema" xmlns:xs="http://www.w3.org/2001/XMLSchema" xmlns:p="http://schemas.microsoft.com/office/2006/metadata/properties" xmlns:ns3="0cf75a78-12c9-4ddd-833f-244656aac8cf" xmlns:ns4="f5674e49-73f7-4274-9e35-9f603b9f4700" targetNamespace="http://schemas.microsoft.com/office/2006/metadata/properties" ma:root="true" ma:fieldsID="ec3f6de67334e619d1313d70a829e32f" ns3:_="" ns4:_="">
    <xsd:import namespace="0cf75a78-12c9-4ddd-833f-244656aac8cf"/>
    <xsd:import namespace="f5674e49-73f7-4274-9e35-9f603b9f470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f75a78-12c9-4ddd-833f-244656aac8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674e49-73f7-4274-9e35-9f603b9f4700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D42593-0581-4CD9-B2A6-152C7F3ABE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8011E8-F459-4275-87E8-C0AC2060414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9FD4A60-15EF-4943-8C5B-3724BDA1BDD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f75a78-12c9-4ddd-833f-244656aac8cf"/>
    <ds:schemaRef ds:uri="f5674e49-73f7-4274-9e35-9f603b9f47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FEBRERO</vt:lpstr>
      <vt:lpstr>FEBRERO!Títulos_a_imprimir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 de juntas Direccion de Recursos Materiales</dc:creator>
  <cp:keywords/>
  <dc:description/>
  <cp:lastModifiedBy>CAZ</cp:lastModifiedBy>
  <cp:revision/>
  <dcterms:created xsi:type="dcterms:W3CDTF">2020-11-04T18:34:06Z</dcterms:created>
  <dcterms:modified xsi:type="dcterms:W3CDTF">2022-03-09T02:53:06Z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0x0101005F4AB3555707D44BB7C85095826A41F8</vt:lpwstr>
  </property>
</Properties>
</file>